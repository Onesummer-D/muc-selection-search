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验收" sheetId="1" state="visible" r:id="rId1"/>
    <sheet name="B验收" sheetId="2" state="visible" r:id="rId2"/>
    <sheet name="C验收" sheetId="3" state="visible" r:id="rId3"/>
    <sheet name="协作交接" sheetId="4" state="visible" r:id="rId4"/>
    <sheet name="20样本评测" sheetId="5" state="visible" r:id="rId5"/>
    <sheet name="证据索引" sheetId="6" state="visible" r:id="rId6"/>
    <sheet name="总览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0.0"/>
    <numFmt numFmtId="166" formatCode="0.0%"/>
  </numFmts>
  <fonts count="6">
    <font>
      <name val="Carlito"/>
      <sz val="11"/>
    </font>
    <font>
      <name val="Microsoft YaHei"/>
      <color rgb="FF1F2937"/>
      <sz val="10"/>
    </font>
    <font>
      <name val="Microsoft YaHei"/>
      <b val="1"/>
      <color rgb="FF000000"/>
      <sz val="15"/>
    </font>
    <font>
      <name val="Microsoft YaHei"/>
      <i val="1"/>
      <color rgb="FF4B5563"/>
      <sz val="10"/>
    </font>
    <font>
      <name val="Microsoft YaHei"/>
      <b val="1"/>
      <color rgb="FF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5F7F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5" fontId="1" fillId="0" borderId="1" applyAlignment="1" pivotButton="0" quotePrefix="0" xfId="0">
      <alignment vertical="center" wrapText="1"/>
    </xf>
    <xf numFmtId="165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vertical="center" wrapText="1"/>
    </xf>
    <xf numFmtId="166" fontId="1" fillId="0" borderId="1" applyAlignment="1" pivotButton="0" quotePrefix="0" xfId="0">
      <alignment vertical="center" wrapText="1"/>
    </xf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2" fontId="1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9" fontId="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 wrapText="1"/>
    </xf>
    <xf numFmtId="164" fontId="1" fillId="3" borderId="1" applyAlignment="1" pivotButton="0" quotePrefix="0" xfId="0">
      <alignment vertical="center" wrapText="1"/>
    </xf>
    <xf numFmtId="166" fontId="1" fillId="0" borderId="1" applyAlignment="1" pivotButton="0" quotePrefix="0" xfId="0">
      <alignment vertical="center" wrapText="1"/>
    </xf>
    <xf numFmtId="2" fontId="1" fillId="3" borderId="1" applyAlignment="1" pivotButton="0" quotePrefix="0" xfId="0">
      <alignment vertical="center" wrapText="1"/>
    </xf>
    <xf numFmtId="9" fontId="1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/>
    </xf>
  </cellXfs>
  <cellStyles count="1">
    <cellStyle name="Normal" xfId="0"/>
  </cellStyles>
  <dxfs count="16"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9C0006"/>
      </font>
      <fill>
        <patternFill>
          <bgColor rgb="FFFCE8E6"/>
        </patternFill>
      </fill>
    </dxf>
    <dxf>
      <font>
        <color rgb="FF9C0006"/>
      </font>
      <fill>
        <patternFill>
          <bgColor rgb="FFFCE8E6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9" customWidth="1" min="1" max="1"/>
    <col width="15.63000011444092" customWidth="1" min="2" max="2"/>
    <col width="21.8799991607666" customWidth="1" min="3" max="3"/>
    <col width="35" customWidth="1" min="4" max="4"/>
    <col width="9" customWidth="1" min="5" max="5"/>
    <col width="6.880000114440918" customWidth="1" min="6" max="6"/>
    <col width="9" customWidth="1" min="7" max="7"/>
    <col width="9" customWidth="1" min="8" max="8"/>
    <col width="9" customWidth="1" min="9" max="9"/>
    <col width="25" customWidth="1" min="10" max="10"/>
    <col width="18.75" customWidth="1" min="11" max="11"/>
    <col width="7.75" customWidth="1" min="12" max="12"/>
    <col width="10" customWidth="1" min="13" max="13"/>
    <col width="10.25" customWidth="1" min="14" max="14"/>
    <col width="22.5" customWidth="1" min="15" max="15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角色 A 验收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黄色单元格由C依据角色进度文件或PR清单回填。状态必须同时有实际值、证据、Commit/PR和接收确认；主文件由C单写。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项目ID</t>
        </is>
      </c>
      <c r="B5" s="9" t="inlineStr">
        <is>
          <t>截止时间</t>
        </is>
      </c>
      <c r="C5" s="9" t="inlineStr">
        <is>
          <t>验收项</t>
        </is>
      </c>
      <c r="D5" s="9" t="inlineStr">
        <is>
          <t>目标或通过条件</t>
        </is>
      </c>
      <c r="E5" s="9" t="inlineStr">
        <is>
          <t>指标类型</t>
        </is>
      </c>
      <c r="F5" s="9" t="inlineStr">
        <is>
          <t>比较符</t>
        </is>
      </c>
      <c r="G5" s="9" t="inlineStr">
        <is>
          <t>目标值</t>
        </is>
      </c>
      <c r="H5" s="9" t="inlineStr">
        <is>
          <t>实际值</t>
        </is>
      </c>
      <c r="I5" s="9" t="inlineStr">
        <is>
          <t>单位</t>
        </is>
      </c>
      <c r="J5" s="9" t="inlineStr">
        <is>
          <t>证据路径或链接</t>
        </is>
      </c>
      <c r="K5" s="9" t="inlineStr">
        <is>
          <t>Commit或PR</t>
        </is>
      </c>
      <c r="L5" s="9" t="inlineStr">
        <is>
          <t>接收人</t>
        </is>
      </c>
      <c r="M5" s="9" t="inlineStr">
        <is>
          <t>接收确认</t>
        </is>
      </c>
      <c r="N5" s="9" t="inlineStr">
        <is>
          <t>状态</t>
        </is>
      </c>
      <c r="O5" s="9" t="inlineStr">
        <is>
          <t>备注或阻塞</t>
        </is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 ht="33" customHeight="1">
      <c r="A6" s="18" t="inlineStr">
        <is>
          <t>A-01</t>
        </is>
      </c>
      <c r="B6" s="36" t="n">
        <v>46283.91666666666</v>
      </c>
      <c r="C6" s="12" t="inlineStr">
        <is>
          <t>目标文章状态台账</t>
        </is>
      </c>
      <c r="D6" s="12" t="inlineStr">
        <is>
          <t>目标清单中的文章全部登记；目标数为100，实际不足须说明缺口</t>
        </is>
      </c>
      <c r="E6" s="18" t="inlineStr">
        <is>
          <t>数值</t>
        </is>
      </c>
      <c r="F6" s="18" t="inlineStr">
        <is>
          <t>&gt;=</t>
        </is>
      </c>
      <c r="G6" s="37" t="n">
        <v>100</v>
      </c>
      <c r="H6" s="38" t="n"/>
      <c r="I6" s="18" t="inlineStr">
        <is>
          <t>篇</t>
        </is>
      </c>
      <c r="J6" s="16" t="n"/>
      <c r="K6" s="16" t="n"/>
      <c r="L6" s="18" t="inlineStr">
        <is>
          <t>C</t>
        </is>
      </c>
      <c r="M6" s="22" t="n"/>
      <c r="N6" s="23">
        <f>IF(H6="","待填写",IF(OR(J6="",K6=""),"缺证据",IF(M6="","待接收",IF(E6="数值",IF(IF(F6="&gt;=",H6&gt;=G6,IF(F6="&lt;=",H6&lt;=G6,H6=G6)),IF(M6="通过","通过",IF(M6="退回","退回","待接收")),"未达标"),IF(E6="结论",IF(OR(H6="启用",H6="不启用"),IF(M6="通过","通过",IF(M6="退回","退回","待接收")),"未达标"),IF(H6=G6,IF(M6="通过","通过",IF(M6="退回","退回","待接收")),"未达标"))))))</f>
        <v/>
      </c>
      <c r="O6" s="16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 ht="33" customHeight="1">
      <c r="A7" s="18" t="inlineStr">
        <is>
          <t>A-02</t>
        </is>
      </c>
      <c r="B7" s="36" t="n">
        <v>46283.91666666666</v>
      </c>
      <c r="C7" s="12" t="inlineStr">
        <is>
          <t>状态与失败原因覆盖率</t>
        </is>
      </c>
      <c r="D7" s="12" t="inlineStr">
        <is>
          <t>每篇都有状态；failed必须有原因</t>
        </is>
      </c>
      <c r="E7" s="18" t="inlineStr">
        <is>
          <t>数值</t>
        </is>
      </c>
      <c r="F7" s="18" t="inlineStr">
        <is>
          <t>&gt;=</t>
        </is>
      </c>
      <c r="G7" s="37" t="n">
        <v>100</v>
      </c>
      <c r="H7" s="38" t="n"/>
      <c r="I7" s="18" t="inlineStr">
        <is>
          <t>%</t>
        </is>
      </c>
      <c r="J7" s="16" t="n"/>
      <c r="K7" s="16" t="n"/>
      <c r="L7" s="18" t="inlineStr">
        <is>
          <t>C</t>
        </is>
      </c>
      <c r="M7" s="22" t="n"/>
      <c r="N7" s="23">
        <f>IF(H7="","待填写",IF(OR(J7="",K7=""),"缺证据",IF(M7="","待接收",IF(E7="数值",IF(IF(F7="&gt;=",H7&gt;=G7,IF(F7="&lt;=",H7&lt;=G7,H7=G7)),IF(M7="通过","通过",IF(M7="退回","退回","待接收")),"未达标"),IF(E7="结论",IF(OR(H7="启用",H7="不启用"),IF(M7="通过","通过",IF(M7="退回","退回","待接收")),"未达标"),IF(H7=G7,IF(M7="通过","通过",IF(M7="退回","退回","待接收")),"未达标"))))))</f>
        <v/>
      </c>
      <c r="O7" s="16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 ht="33" customHeight="1">
      <c r="A8" s="18" t="inlineStr">
        <is>
          <t>A-03</t>
        </is>
      </c>
      <c r="B8" s="36" t="n">
        <v>46282.91666666666</v>
      </c>
      <c r="C8" s="12" t="inlineStr">
        <is>
          <t>固定样本数量</t>
        </is>
      </c>
      <c r="D8" s="12" t="inlineStr">
        <is>
          <t>优先2文本、2海报、1多人或混合；不足时写明真实构成</t>
        </is>
      </c>
      <c r="E8" s="18" t="inlineStr">
        <is>
          <t>数值</t>
        </is>
      </c>
      <c r="F8" s="18" t="inlineStr">
        <is>
          <t>&gt;=</t>
        </is>
      </c>
      <c r="G8" s="37" t="n">
        <v>5</v>
      </c>
      <c r="H8" s="38" t="n"/>
      <c r="I8" s="18" t="inlineStr">
        <is>
          <t>篇</t>
        </is>
      </c>
      <c r="J8" s="16" t="n"/>
      <c r="K8" s="16" t="n"/>
      <c r="L8" s="18" t="inlineStr">
        <is>
          <t>B/C</t>
        </is>
      </c>
      <c r="M8" s="22" t="n"/>
      <c r="N8" s="23">
        <f>IF(H8="","待填写",IF(OR(J8="",K8=""),"缺证据",IF(M8="","待接收",IF(E8="数值",IF(IF(F8="&gt;=",H8&gt;=G8,IF(F8="&lt;=",H8&lt;=G8,H8=G8)),IF(M8="通过","通过",IF(M8="退回","退回","待接收")),"未达标"),IF(E8="结论",IF(OR(H8="启用",H8="不启用"),IF(M8="通过","通过",IF(M8="退回","退回","待接收")),"未达标"),IF(H8=G8,IF(M8="通过","通过",IF(M8="退回","退回","待接收")),"未达标"))))))</f>
        <v/>
      </c>
      <c r="O8" s="16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 ht="33" customHeight="1">
      <c r="A9" s="18" t="inlineStr">
        <is>
          <t>A-04</t>
        </is>
      </c>
      <c r="B9" s="36" t="n">
        <v>46282.91666666666</v>
      </c>
      <c r="C9" s="12" t="inlineStr">
        <is>
          <t>固定样本Schema通过数</t>
        </is>
      </c>
      <c r="D9" s="12" t="inlineStr">
        <is>
          <t>article_bundle.v1校验5/5通过</t>
        </is>
      </c>
      <c r="E9" s="18" t="inlineStr">
        <is>
          <t>数值</t>
        </is>
      </c>
      <c r="F9" s="18" t="inlineStr">
        <is>
          <t>&gt;=</t>
        </is>
      </c>
      <c r="G9" s="37" t="n">
        <v>5</v>
      </c>
      <c r="H9" s="38" t="n"/>
      <c r="I9" s="18" t="inlineStr">
        <is>
          <t>篇</t>
        </is>
      </c>
      <c r="J9" s="16" t="n"/>
      <c r="K9" s="16" t="n"/>
      <c r="L9" s="18" t="inlineStr">
        <is>
          <t>B/C</t>
        </is>
      </c>
      <c r="M9" s="22" t="n"/>
      <c r="N9" s="23">
        <f>IF(H9="","待填写",IF(OR(J9="",K9=""),"缺证据",IF(M9="","待接收",IF(E9="数值",IF(IF(F9="&gt;=",H9&gt;=G9,IF(F9="&lt;=",H9&lt;=G9,H9=G9)),IF(M9="通过","通过",IF(M9="退回","退回","待接收")),"未达标"),IF(E9="结论",IF(OR(H9="启用",H9="不启用"),IF(M9="通过","通过",IF(M9="退回","退回","待接收")),"未达标"),IF(H9=G9,IF(M9="通过","通过",IF(M9="退回","退回","待接收")),"未达标"))))))</f>
        <v/>
      </c>
      <c r="O9" s="16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 ht="33" customHeight="1">
      <c r="A10" s="18" t="inlineStr">
        <is>
          <t>A-05</t>
        </is>
      </c>
      <c r="B10" s="36" t="n">
        <v>46284.75</v>
      </c>
      <c r="C10" s="12" t="inlineStr">
        <is>
          <t>最小请求间隔</t>
        </is>
      </c>
      <c r="D10" s="12" t="inlineStr">
        <is>
          <t>正常门户请求间隔不得低于0.8秒</t>
        </is>
      </c>
      <c r="E10" s="18" t="inlineStr">
        <is>
          <t>数值</t>
        </is>
      </c>
      <c r="F10" s="18" t="inlineStr">
        <is>
          <t>&gt;=</t>
        </is>
      </c>
      <c r="G10" s="37" t="n">
        <v>0.8</v>
      </c>
      <c r="H10" s="38" t="n"/>
      <c r="I10" s="18" t="inlineStr">
        <is>
          <t>秒</t>
        </is>
      </c>
      <c r="J10" s="16" t="n"/>
      <c r="K10" s="16" t="n"/>
      <c r="L10" s="18" t="inlineStr">
        <is>
          <t>C</t>
        </is>
      </c>
      <c r="M10" s="22" t="n"/>
      <c r="N10" s="23">
        <f>IF(H10="","待填写",IF(OR(J10="",K10=""),"缺证据",IF(M10="","待接收",IF(E10="数值",IF(IF(F10="&gt;=",H10&gt;=G10,IF(F10="&lt;=",H10&lt;=G10,H10=G10)),IF(M10="通过","通过",IF(M10="退回","退回","待接收")),"未达标"),IF(E10="结论",IF(OR(H10="启用",H10="不启用"),IF(M10="通过","通过",IF(M10="退回","退回","待接收")),"未达标"),IF(H10=G10,IF(M10="通过","通过",IF(M10="退回","退回","待接收")),"未达标"))))))</f>
        <v/>
      </c>
      <c r="O10" s="16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 ht="33" customHeight="1">
      <c r="A11" s="18" t="inlineStr">
        <is>
          <t>A-06</t>
        </is>
      </c>
      <c r="B11" s="36" t="n">
        <v>46284.75</v>
      </c>
      <c r="C11" s="12" t="inlineStr">
        <is>
          <t>最大请求间隔</t>
        </is>
      </c>
      <c r="D11" s="12" t="inlineStr">
        <is>
          <t>正常门户请求间隔不得高于1.5秒</t>
        </is>
      </c>
      <c r="E11" s="18" t="inlineStr">
        <is>
          <t>数值</t>
        </is>
      </c>
      <c r="F11" s="18" t="inlineStr">
        <is>
          <t>&lt;=</t>
        </is>
      </c>
      <c r="G11" s="37" t="n">
        <v>1.5</v>
      </c>
      <c r="H11" s="38" t="n"/>
      <c r="I11" s="18" t="inlineStr">
        <is>
          <t>秒</t>
        </is>
      </c>
      <c r="J11" s="16" t="n"/>
      <c r="K11" s="16" t="n"/>
      <c r="L11" s="18" t="inlineStr">
        <is>
          <t>C</t>
        </is>
      </c>
      <c r="M11" s="22" t="n"/>
      <c r="N11" s="23">
        <f>IF(H11="","待填写",IF(OR(J11="",K11=""),"缺证据",IF(M11="","待接收",IF(E11="数值",IF(IF(F11="&gt;=",H11&gt;=G11,IF(F11="&lt;=",H11&lt;=G11,H11=G11)),IF(M11="通过","通过",IF(M11="退回","退回","待接收")),"未达标"),IF(E11="结论",IF(OR(H11="启用",H11="不启用"),IF(M11="通过","通过",IF(M11="退回","退回","待接收")),"未达标"),IF(H11=G11,IF(M11="通过","通过",IF(M11="退回","退回","待接收")),"未达标"))))))</f>
        <v/>
      </c>
      <c r="O11" s="16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 ht="33" customHeight="1">
      <c r="A12" s="18" t="inlineStr">
        <is>
          <t>A-07</t>
        </is>
      </c>
      <c r="B12" s="36" t="n">
        <v>46284.75</v>
      </c>
      <c r="C12" s="12" t="inlineStr">
        <is>
          <t>最多重试次数</t>
        </is>
      </c>
      <c r="D12" s="12" t="inlineStr">
        <is>
          <t>超时、429、5xx最多重试3次</t>
        </is>
      </c>
      <c r="E12" s="18" t="inlineStr">
        <is>
          <t>数值</t>
        </is>
      </c>
      <c r="F12" s="18" t="inlineStr">
        <is>
          <t>=</t>
        </is>
      </c>
      <c r="G12" s="37" t="n">
        <v>3</v>
      </c>
      <c r="H12" s="38" t="n"/>
      <c r="I12" s="18" t="inlineStr">
        <is>
          <t>次</t>
        </is>
      </c>
      <c r="J12" s="16" t="n"/>
      <c r="K12" s="16" t="n"/>
      <c r="L12" s="18" t="inlineStr">
        <is>
          <t>C</t>
        </is>
      </c>
      <c r="M12" s="22" t="n"/>
      <c r="N12" s="23">
        <f>IF(H12="","待填写",IF(OR(J12="",K12=""),"缺证据",IF(M12="","待接收",IF(E12="数值",IF(IF(F12="&gt;=",H12&gt;=G12,IF(F12="&lt;=",H12&lt;=G12,H12=G12)),IF(M12="通过","通过",IF(M12="退回","退回","待接收")),"未达标"),IF(E12="结论",IF(OR(H12="启用",H12="不启用"),IF(M12="通过","通过",IF(M12="退回","退回","待接收")),"未达标"),IF(H12=G12,IF(M12="通过","通过",IF(M12="退回","退回","待接收")),"未达标"))))))</f>
        <v/>
      </c>
      <c r="O12" s="16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 ht="33" customHeight="1">
      <c r="A13" s="18" t="inlineStr">
        <is>
          <t>A-08</t>
        </is>
      </c>
      <c r="B13" s="36" t="n">
        <v>46284.75</v>
      </c>
      <c r="C13" s="12" t="inlineStr">
        <is>
          <t>断点续采</t>
        </is>
      </c>
      <c r="D13" s="12" t="inlineStr">
        <is>
          <t>中断后只继续未完成项</t>
        </is>
      </c>
      <c r="E13" s="18" t="inlineStr">
        <is>
          <t>是非</t>
        </is>
      </c>
      <c r="F13" s="18" t="inlineStr">
        <is>
          <t>=</t>
        </is>
      </c>
      <c r="G13" s="37" t="inlineStr">
        <is>
          <t>是</t>
        </is>
      </c>
      <c r="H13" s="38" t="n"/>
      <c r="I13" s="18" t="str"/>
      <c r="J13" s="16" t="n"/>
      <c r="K13" s="16" t="n"/>
      <c r="L13" s="18" t="inlineStr">
        <is>
          <t>C</t>
        </is>
      </c>
      <c r="M13" s="22" t="n"/>
      <c r="N13" s="23">
        <f>IF(H13="","待填写",IF(OR(J13="",K13=""),"缺证据",IF(M13="","待接收",IF(E13="数值",IF(IF(F13="&gt;=",H13&gt;=G13,IF(F13="&lt;=",H13&lt;=G13,H13=G13)),IF(M13="通过","通过",IF(M13="退回","退回","待接收")),"未达标"),IF(E13="结论",IF(OR(H13="启用",H13="不启用"),IF(M13="通过","通过",IF(M13="退回","退回","待接收")),"未达标"),IF(H13=G13,IF(M13="通过","通过",IF(M13="退回","退回","待接收")),"未达标"))))))</f>
        <v/>
      </c>
      <c r="O13" s="16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 ht="33" customHeight="1">
      <c r="A14" s="18" t="inlineStr">
        <is>
          <t>A-09</t>
        </is>
      </c>
      <c r="B14" s="36" t="n">
        <v>46284.75</v>
      </c>
      <c r="C14" s="12" t="inlineStr">
        <is>
          <t>重复运行新增重复项</t>
        </is>
      </c>
      <c r="D14" s="12" t="inlineStr">
        <is>
          <t>同一数据连续运行两次不产生重复notice_id</t>
        </is>
      </c>
      <c r="E14" s="18" t="inlineStr">
        <is>
          <t>数值</t>
        </is>
      </c>
      <c r="F14" s="18" t="inlineStr">
        <is>
          <t>=</t>
        </is>
      </c>
      <c r="G14" s="37" t="n">
        <v>0</v>
      </c>
      <c r="H14" s="38" t="n"/>
      <c r="I14" s="18" t="inlineStr">
        <is>
          <t>条</t>
        </is>
      </c>
      <c r="J14" s="16" t="n"/>
      <c r="K14" s="16" t="n"/>
      <c r="L14" s="18" t="inlineStr">
        <is>
          <t>C</t>
        </is>
      </c>
      <c r="M14" s="22" t="n"/>
      <c r="N14" s="23">
        <f>IF(H14="","待填写",IF(OR(J14="",K14=""),"缺证据",IF(M14="","待接收",IF(E14="数值",IF(IF(F14="&gt;=",H14&gt;=G14,IF(F14="&lt;=",H14&lt;=G14,H14=G14)),IF(M14="通过","通过",IF(M14="退回","退回","待接收")),"未达标"),IF(E14="结论",IF(OR(H14="启用",H14="不启用"),IF(M14="通过","通过",IF(M14="退回","退回","待接收")),"未达标"),IF(H14=G14,IF(M14="通过","通过",IF(M14="退回","退回","待接收")),"未达标"))))))</f>
        <v/>
      </c>
      <c r="O14" s="16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 ht="33" customHeight="1">
      <c r="A15" s="18" t="inlineStr">
        <is>
          <t>A-10</t>
        </is>
      </c>
      <c r="B15" s="36" t="n">
        <v>46284.75</v>
      </c>
      <c r="C15" s="12" t="inlineStr">
        <is>
          <t>敏感文件命中</t>
        </is>
      </c>
      <c r="D15" s="12" t="inlineStr">
        <is>
          <t>Cookie、账号、原始个人海报、密钥和未脱敏响应命中为0</t>
        </is>
      </c>
      <c r="E15" s="18" t="inlineStr">
        <is>
          <t>数值</t>
        </is>
      </c>
      <c r="F15" s="18" t="inlineStr">
        <is>
          <t>=</t>
        </is>
      </c>
      <c r="G15" s="37" t="n">
        <v>0</v>
      </c>
      <c r="H15" s="38" t="n"/>
      <c r="I15" s="18" t="inlineStr">
        <is>
          <t>项</t>
        </is>
      </c>
      <c r="J15" s="16" t="n"/>
      <c r="K15" s="16" t="n"/>
      <c r="L15" s="18" t="inlineStr">
        <is>
          <t>C</t>
        </is>
      </c>
      <c r="M15" s="22" t="n"/>
      <c r="N15" s="23">
        <f>IF(H15="","待填写",IF(OR(J15="",K15=""),"缺证据",IF(M15="","待接收",IF(E15="数值",IF(IF(F15="&gt;=",H15&gt;=G15,IF(F15="&lt;=",H15&lt;=G15,H15=G15)),IF(M15="通过","通过",IF(M15="退回","退回","待接收")),"未达标"),IF(E15="结论",IF(OR(H15="启用",H15="不启用"),IF(M15="通过","通过",IF(M15="退回","退回","待接收")),"未达标"),IF(H15=G15,IF(M15="通过","通过",IF(M15="退回","退回","待接收")),"未达标"))))))</f>
        <v/>
      </c>
      <c r="O15" s="16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 ht="33" customHeight="1">
      <c r="A16" s="18" t="inlineStr">
        <is>
          <t>A-11</t>
        </is>
      </c>
      <c r="B16" s="36" t="n">
        <v>46285.625</v>
      </c>
      <c r="C16" s="12" t="inlineStr">
        <is>
          <t>PR与队友检查</t>
        </is>
      </c>
      <c r="D16" s="12" t="inlineStr">
        <is>
          <t>Draft PR已更新，至少一名队友完成检查</t>
        </is>
      </c>
      <c r="E16" s="18" t="inlineStr">
        <is>
          <t>是非</t>
        </is>
      </c>
      <c r="F16" s="18" t="inlineStr">
        <is>
          <t>=</t>
        </is>
      </c>
      <c r="G16" s="37" t="inlineStr">
        <is>
          <t>是</t>
        </is>
      </c>
      <c r="H16" s="38" t="n"/>
      <c r="I16" s="18" t="str"/>
      <c r="J16" s="16" t="n"/>
      <c r="K16" s="16" t="n"/>
      <c r="L16" s="18" t="inlineStr">
        <is>
          <t>C</t>
        </is>
      </c>
      <c r="M16" s="22" t="n"/>
      <c r="N16" s="23">
        <f>IF(H16="","待填写",IF(OR(J16="",K16=""),"缺证据",IF(M16="","待接收",IF(E16="数值",IF(IF(F16="&gt;=",H16&gt;=G16,IF(F16="&lt;=",H16&lt;=G16,H16=G16)),IF(M16="通过","通过",IF(M16="退回","退回","待接收")),"未达标"),IF(E16="结论",IF(OR(H16="启用",H16="不启用"),IF(M16="通过","通过",IF(M16="退回","退回","待接收")),"未达标"),IF(H16=G16,IF(M16="通过","通过",IF(M16="退回","退回","待接收")),"未达标"))))))</f>
        <v/>
      </c>
      <c r="O16" s="16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 ht="33" customHeight="1">
      <c r="A17" s="18" t="inlineStr">
        <is>
          <t>A-12</t>
        </is>
      </c>
      <c r="B17" s="36" t="n">
        <v>46284.75</v>
      </c>
      <c r="C17" s="12" t="inlineStr">
        <is>
          <t>Scheduler触发SyncService</t>
        </is>
      </c>
      <c r="D17" s="12" t="inlineStr">
        <is>
          <t>周期配置可运行，调度器不复制采集逻辑</t>
        </is>
      </c>
      <c r="E17" s="18" t="inlineStr">
        <is>
          <t>是非</t>
        </is>
      </c>
      <c r="F17" s="18" t="inlineStr">
        <is>
          <t>=</t>
        </is>
      </c>
      <c r="G17" s="37" t="inlineStr">
        <is>
          <t>是</t>
        </is>
      </c>
      <c r="H17" s="38" t="n"/>
      <c r="I17" s="18" t="str"/>
      <c r="J17" s="16" t="n"/>
      <c r="K17" s="16" t="n"/>
      <c r="L17" s="18" t="inlineStr">
        <is>
          <t>C</t>
        </is>
      </c>
      <c r="M17" s="22" t="n"/>
      <c r="N17" s="23">
        <f>IF(H17="","待填写",IF(OR(J17="",K17=""),"缺证据",IF(M17="","待接收",IF(E17="数值",IF(IF(F17="&gt;=",H17&gt;=G17,IF(F17="&lt;=",H17&lt;=G17,H17=G17)),IF(M17="通过","通过",IF(M17="退回","退回","待接收")),"未达标"),IF(E17="结论",IF(OR(H17="启用",H17="不启用"),IF(M17="通过","通过",IF(M17="退回","退回","待接收")),"未达标"),IF(H17=G17,IF(M17="通过","通过",IF(M17="退回","退回","待接收")),"未达标"))))))</f>
        <v/>
      </c>
      <c r="O17" s="16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 ht="33" customHeight="1">
      <c r="A18" s="18" t="inlineStr">
        <is>
          <t>A-13</t>
        </is>
      </c>
      <c r="B18" s="36" t="n">
        <v>46284.75</v>
      </c>
      <c r="C18" s="12" t="inlineStr">
        <is>
          <t>单实例锁与任务状态</t>
        </is>
      </c>
      <c r="D18" s="12" t="inlineStr">
        <is>
          <t>并发触发只运行一个任务，状态和游标可查询</t>
        </is>
      </c>
      <c r="E18" s="18" t="inlineStr">
        <is>
          <t>是非</t>
        </is>
      </c>
      <c r="F18" s="18" t="inlineStr">
        <is>
          <t>=</t>
        </is>
      </c>
      <c r="G18" s="37" t="inlineStr">
        <is>
          <t>是</t>
        </is>
      </c>
      <c r="H18" s="38" t="n"/>
      <c r="I18" s="18" t="str"/>
      <c r="J18" s="16" t="n"/>
      <c r="K18" s="16" t="n"/>
      <c r="L18" s="18" t="inlineStr">
        <is>
          <t>C</t>
        </is>
      </c>
      <c r="M18" s="22" t="n"/>
      <c r="N18" s="23">
        <f>IF(H18="","待填写",IF(OR(J18="",K18=""),"缺证据",IF(M18="","待接收",IF(E18="数值",IF(IF(F18="&gt;=",H18&gt;=G18,IF(F18="&lt;=",H18&lt;=G18,H18=G18)),IF(M18="通过","通过",IF(M18="退回","退回","待接收")),"未达标"),IF(E18="结论",IF(OR(H18="启用",H18="不启用"),IF(M18="通过","通过",IF(M18="退回","退回","待接收")),"未达标"),IF(H18=G18,IF(M18="通过","通过",IF(M18="退回","退回","待接收")),"未达标"))))))</f>
        <v/>
      </c>
      <c r="O18" s="16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conditionalFormatting sqref="N6:N18">
    <cfRule type="containsText" priority="1" operator="containsText" dxfId="0" text="通过"/>
    <cfRule type="containsText" priority="2" operator="containsText" dxfId="1" text="未达标"/>
    <cfRule type="containsText" priority="3" operator="containsText" dxfId="1" text="退回"/>
    <cfRule type="containsText" priority="4" operator="containsText" dxfId="1" text="缺证据"/>
  </conditionalFormatting>
  <dataValidations count="1">
    <dataValidation sqref="M6:M18" showDropDown="0" showInputMessage="0" showErrorMessage="0" allowBlank="0" type="list">
      <formula1>"未确认,通过,退回"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9" customWidth="1" min="1" max="1"/>
    <col width="15.63000011444092" customWidth="1" min="2" max="2"/>
    <col width="21.8799991607666" customWidth="1" min="3" max="3"/>
    <col width="35" customWidth="1" min="4" max="4"/>
    <col width="9" customWidth="1" min="5" max="5"/>
    <col width="6.880000114440918" customWidth="1" min="6" max="6"/>
    <col width="9" customWidth="1" min="7" max="7"/>
    <col width="9" customWidth="1" min="8" max="8"/>
    <col width="9" customWidth="1" min="9" max="9"/>
    <col width="25" customWidth="1" min="10" max="10"/>
    <col width="18.75" customWidth="1" min="11" max="11"/>
    <col width="7.75" customWidth="1" min="12" max="12"/>
    <col width="10" customWidth="1" min="13" max="13"/>
    <col width="10.25" customWidth="1" min="14" max="14"/>
    <col width="22.5" customWidth="1" min="15" max="15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角色 B 验收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黄色单元格由C依据角色进度文件或PR清单回填。状态必须同时有实际值、证据、Commit/PR和接收确认；主文件由C单写。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项目ID</t>
        </is>
      </c>
      <c r="B5" s="9" t="inlineStr">
        <is>
          <t>截止时间</t>
        </is>
      </c>
      <c r="C5" s="9" t="inlineStr">
        <is>
          <t>验收项</t>
        </is>
      </c>
      <c r="D5" s="9" t="inlineStr">
        <is>
          <t>目标或通过条件</t>
        </is>
      </c>
      <c r="E5" s="9" t="inlineStr">
        <is>
          <t>指标类型</t>
        </is>
      </c>
      <c r="F5" s="9" t="inlineStr">
        <is>
          <t>比较符</t>
        </is>
      </c>
      <c r="G5" s="9" t="inlineStr">
        <is>
          <t>目标值</t>
        </is>
      </c>
      <c r="H5" s="9" t="inlineStr">
        <is>
          <t>实际值</t>
        </is>
      </c>
      <c r="I5" s="9" t="inlineStr">
        <is>
          <t>单位</t>
        </is>
      </c>
      <c r="J5" s="9" t="inlineStr">
        <is>
          <t>证据路径或链接</t>
        </is>
      </c>
      <c r="K5" s="9" t="inlineStr">
        <is>
          <t>Commit或PR</t>
        </is>
      </c>
      <c r="L5" s="9" t="inlineStr">
        <is>
          <t>接收人</t>
        </is>
      </c>
      <c r="M5" s="9" t="inlineStr">
        <is>
          <t>接收确认</t>
        </is>
      </c>
      <c r="N5" s="9" t="inlineStr">
        <is>
          <t>状态</t>
        </is>
      </c>
      <c r="O5" s="9" t="inlineStr">
        <is>
          <t>备注或阻塞</t>
        </is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 ht="33" customHeight="1">
      <c r="A6" s="18" t="inlineStr">
        <is>
          <t>B-01</t>
        </is>
      </c>
      <c r="B6" s="36" t="n">
        <v>46283.91666666666</v>
      </c>
      <c r="C6" s="12" t="inlineStr">
        <is>
          <t>人工金标准样本数</t>
        </is>
      </c>
      <c r="D6" s="12" t="inlineStr">
        <is>
          <t>固定20张海报；记录匿名ID和SHA-256</t>
        </is>
      </c>
      <c r="E6" s="18" t="inlineStr">
        <is>
          <t>数值</t>
        </is>
      </c>
      <c r="F6" s="18" t="inlineStr">
        <is>
          <t>&gt;=</t>
        </is>
      </c>
      <c r="G6" s="37" t="n">
        <v>20</v>
      </c>
      <c r="H6" s="38">
        <f>COUNTIF('20样本评测'!AA15:AA34,"通过")</f>
        <v/>
      </c>
      <c r="I6" s="18" t="inlineStr">
        <is>
          <t>张</t>
        </is>
      </c>
      <c r="J6" s="16" t="n"/>
      <c r="K6" s="16" t="inlineStr">
        <is>
          <t>PR #5</t>
        </is>
      </c>
      <c r="L6" s="18" t="inlineStr">
        <is>
          <t>C</t>
        </is>
      </c>
      <c r="M6" s="22" t="n"/>
      <c r="N6" s="23">
        <f>IF(H6="","待填写",IF(OR(J6="",K6=""),"缺证据",IF(M6="","待接收",IF(E6="数值",IF(IF(F6="&gt;=",H6&gt;=G6,IF(F6="&lt;=",H6&lt;=G6,H6=G6)),IF(M6="通过","通过",IF(M6="退回","退回","待接收")),"未达标"),IF(E6="结论",IF(OR(H6="启用",H6="不启用"),IF(M6="通过","通过",IF(M6="退回","退回","待接收")),"未达标"),IF(H6=G6,IF(M6="通过","通过",IF(M6="退回","退回","待接收")),"未达标"))))))</f>
        <v/>
      </c>
      <c r="O6" s="16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 ht="33" customHeight="1">
      <c r="A7" s="18" t="inlineStr">
        <is>
          <t>B-02</t>
        </is>
      </c>
      <c r="B7" s="36" t="n">
        <v>46283.91666666666</v>
      </c>
      <c r="C7" s="12" t="inlineStr">
        <is>
          <t>金标准人工完成</t>
        </is>
      </c>
      <c r="D7" s="12" t="inlineStr">
        <is>
          <t>模型输出不得代替人工答案</t>
        </is>
      </c>
      <c r="E7" s="18" t="inlineStr">
        <is>
          <t>是非</t>
        </is>
      </c>
      <c r="F7" s="18" t="inlineStr">
        <is>
          <t>=</t>
        </is>
      </c>
      <c r="G7" s="37" t="inlineStr">
        <is>
          <t>是</t>
        </is>
      </c>
      <c r="H7" s="38" t="inlineStr">
        <is>
          <t>是</t>
        </is>
      </c>
      <c r="I7" s="18" t="str"/>
      <c r="J7" s="16" t="inlineStr">
        <is>
          <t>data/gold/gold_20.json + adjudication_log.json（人工盲填，模型输出未代填）</t>
        </is>
      </c>
      <c r="K7" s="16" t="inlineStr">
        <is>
          <t>PR #5</t>
        </is>
      </c>
      <c r="L7" s="18" t="inlineStr">
        <is>
          <t>C</t>
        </is>
      </c>
      <c r="M7" s="22" t="n"/>
      <c r="N7" s="23">
        <f>IF(H7="","待填写",IF(OR(J7="",K7=""),"缺证据",IF(M7="","待接收",IF(E7="数值",IF(IF(F7="&gt;=",H7&gt;=G7,IF(F7="&lt;=",H7&lt;=G7,H7=G7)),IF(M7="通过","通过",IF(M7="退回","退回","待接收")),"未达标"),IF(E7="结论",IF(OR(H7="启用",H7="不启用"),IF(M7="通过","通过",IF(M7="退回","退回","待接收")),"未达标"),IF(H7=G7,IF(M7="通过","通过",IF(M7="退回","退回","待接收")),"未达标"))))))</f>
        <v/>
      </c>
      <c r="O7" s="16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 ht="33" customHeight="1">
      <c r="A8" s="18" t="inlineStr">
        <is>
          <t>B-03</t>
        </is>
      </c>
      <c r="B8" s="36" t="n">
        <v>46284.5</v>
      </c>
      <c r="C8" s="12" t="inlineStr">
        <is>
          <t>固定样本抽取数</t>
        </is>
      </c>
      <c r="D8" s="12" t="inlineStr">
        <is>
          <t>5篇固定样本产生extraction_bundle.v1</t>
        </is>
      </c>
      <c r="E8" s="18" t="inlineStr">
        <is>
          <t>数值</t>
        </is>
      </c>
      <c r="F8" s="18" t="inlineStr">
        <is>
          <t>&gt;=</t>
        </is>
      </c>
      <c r="G8" s="37" t="n">
        <v>5</v>
      </c>
      <c r="H8" s="38" t="n">
        <v>5</v>
      </c>
      <c r="I8" s="18" t="inlineStr">
        <is>
          <t>篇</t>
        </is>
      </c>
      <c r="J8" s="16" t="inlineStr">
        <is>
          <t>evidence/week1/B/test-output-extraction.txt（bundle原文件按PII策略存受控目录）</t>
        </is>
      </c>
      <c r="K8" s="16" t="inlineStr">
        <is>
          <t>PR #5</t>
        </is>
      </c>
      <c r="L8" s="18" t="inlineStr">
        <is>
          <t>C</t>
        </is>
      </c>
      <c r="M8" s="22" t="n"/>
      <c r="N8" s="23">
        <f>IF(H8="","待填写",IF(OR(J8="",K8=""),"缺证据",IF(M8="","待接收",IF(E8="数值",IF(IF(F8="&gt;=",H8&gt;=G8,IF(F8="&lt;=",H8&lt;=G8,H8=G8)),IF(M8="通过","通过",IF(M8="退回","退回","待接收")),"未达标"),IF(E8="结论",IF(OR(H8="启用",H8="不启用"),IF(M8="通过","通过",IF(M8="退回","退回","待接收")),"未达标"),IF(H8=G8,IF(M8="通过","通过",IF(M8="退回","退回","待接收")),"未达标"))))))</f>
        <v/>
      </c>
      <c r="O8" s="16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 ht="33" customHeight="1">
      <c r="A9" s="18" t="inlineStr">
        <is>
          <t>B-04</t>
        </is>
      </c>
      <c r="B9" s="36" t="n">
        <v>46284.5</v>
      </c>
      <c r="C9" s="12" t="inlineStr">
        <is>
          <t>固定样本Schema通过数</t>
        </is>
      </c>
      <c r="D9" s="12" t="inlineStr">
        <is>
          <t>extraction_bundle.v1校验5/5通过</t>
        </is>
      </c>
      <c r="E9" s="18" t="inlineStr">
        <is>
          <t>数值</t>
        </is>
      </c>
      <c r="F9" s="18" t="inlineStr">
        <is>
          <t>&gt;=</t>
        </is>
      </c>
      <c r="G9" s="37" t="n">
        <v>5</v>
      </c>
      <c r="H9" s="38" t="n">
        <v>5</v>
      </c>
      <c r="I9" s="18" t="inlineStr">
        <is>
          <t>篇</t>
        </is>
      </c>
      <c r="J9" s="16" t="inlineStr">
        <is>
          <t>evidence/week1/B/test-output-extraction.txt（extraction_bundle.v1 5/5通过）</t>
        </is>
      </c>
      <c r="K9" s="16" t="inlineStr">
        <is>
          <t>PR #5</t>
        </is>
      </c>
      <c r="L9" s="18" t="inlineStr">
        <is>
          <t>C</t>
        </is>
      </c>
      <c r="M9" s="22" t="n"/>
      <c r="N9" s="23">
        <f>IF(H9="","待填写",IF(OR(J9="",K9=""),"缺证据",IF(M9="","待接收",IF(E9="数值",IF(IF(F9="&gt;=",H9&gt;=G9,IF(F9="&lt;=",H9&lt;=G9,H9=G9)),IF(M9="通过","通过",IF(M9="退回","退回","待接收")),"未达标"),IF(E9="结论",IF(OR(H9="启用",H9="不启用"),IF(M9="通过","通过",IF(M9="退回","退回","待接收")),"未达标"),IF(H9=G9,IF(M9="通过","通过",IF(M9="退回","退回","待接收")),"未达标"))))))</f>
        <v/>
      </c>
      <c r="O9" s="16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 ht="33" customHeight="1">
      <c r="A10" s="18" t="inlineStr">
        <is>
          <t>B-05</t>
        </is>
      </c>
      <c r="B10" s="36" t="n">
        <v>46284.75</v>
      </c>
      <c r="C10" s="12" t="inlineStr">
        <is>
          <t>届别字段准确率</t>
        </is>
      </c>
      <c r="D10" s="12" t="inlineStr">
        <is>
          <t>单独计算，不以总平均替代</t>
        </is>
      </c>
      <c r="E10" s="18" t="inlineStr">
        <is>
          <t>数值</t>
        </is>
      </c>
      <c r="F10" s="18" t="inlineStr">
        <is>
          <t>&gt;=</t>
        </is>
      </c>
      <c r="G10" s="37" t="n">
        <v>90</v>
      </c>
      <c r="H10" s="38">
        <f>IF('20样本评测'!D6="","",'20样本评测'!D6*100)</f>
        <v/>
      </c>
      <c r="I10" s="18" t="inlineStr">
        <is>
          <t>%</t>
        </is>
      </c>
      <c r="J10" s="16" t="n"/>
      <c r="K10" s="16" t="inlineStr">
        <is>
          <t>PR #5</t>
        </is>
      </c>
      <c r="L10" s="18" t="inlineStr">
        <is>
          <t>C</t>
        </is>
      </c>
      <c r="M10" s="22" t="n"/>
      <c r="N10" s="23">
        <f>IF(H10="","待填写",IF(OR(J10="",K10=""),"缺证据",IF(M10="","待接收",IF(E10="数值",IF(IF(F10="&gt;=",H10&gt;=G10,IF(F10="&lt;=",H10&lt;=G10,H10=G10)),IF(M10="通过","通过",IF(M10="退回","退回","待接收")),"未达标"),IF(E10="结论",IF(OR(H10="启用",H10="不启用"),IF(M10="通过","通过",IF(M10="退回","退回","待接收")),"未达标"),IF(H10=G10,IF(M10="通过","通过",IF(M10="退回","退回","待接收")),"未达标"))))))</f>
        <v/>
      </c>
      <c r="O10" s="16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 ht="33" customHeight="1">
      <c r="A11" s="18" t="inlineStr">
        <is>
          <t>B-06</t>
        </is>
      </c>
      <c r="B11" s="36" t="n">
        <v>46284.75</v>
      </c>
      <c r="C11" s="12" t="inlineStr">
        <is>
          <t>学历字段准确率</t>
        </is>
      </c>
      <c r="D11" s="12" t="inlineStr">
        <is>
          <t>单独计算，不以总平均替代</t>
        </is>
      </c>
      <c r="E11" s="18" t="inlineStr">
        <is>
          <t>数值</t>
        </is>
      </c>
      <c r="F11" s="18" t="inlineStr">
        <is>
          <t>&gt;=</t>
        </is>
      </c>
      <c r="G11" s="37" t="n">
        <v>90</v>
      </c>
      <c r="H11" s="38">
        <f>IF('20样本评测'!D7="","",'20样本评测'!D7*100)</f>
        <v/>
      </c>
      <c r="I11" s="18" t="inlineStr">
        <is>
          <t>%</t>
        </is>
      </c>
      <c r="J11" s="16" t="n"/>
      <c r="K11" s="16" t="inlineStr">
        <is>
          <t>PR #5</t>
        </is>
      </c>
      <c r="L11" s="18" t="inlineStr">
        <is>
          <t>C</t>
        </is>
      </c>
      <c r="M11" s="22" t="n"/>
      <c r="N11" s="23">
        <f>IF(H11="","待填写",IF(OR(J11="",K11=""),"缺证据",IF(M11="","待接收",IF(E11="数值",IF(IF(F11="&gt;=",H11&gt;=G11,IF(F11="&lt;=",H11&lt;=G11,H11=G11)),IF(M11="通过","通过",IF(M11="退回","退回","待接收")),"未达标"),IF(E11="结论",IF(OR(H11="启用",H11="不启用"),IF(M11="通过","通过",IF(M11="退回","退回","待接收")),"未达标"),IF(H11=G11,IF(M11="通过","通过",IF(M11="退回","退回","待接收")),"未达标"))))))</f>
        <v/>
      </c>
      <c r="O11" s="16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 ht="33" customHeight="1">
      <c r="A12" s="18" t="inlineStr">
        <is>
          <t>B-07</t>
        </is>
      </c>
      <c r="B12" s="36" t="n">
        <v>46284.75</v>
      </c>
      <c r="C12" s="12" t="inlineStr">
        <is>
          <t>专业字段准确率</t>
        </is>
      </c>
      <c r="D12" s="12" t="inlineStr">
        <is>
          <t>单独计算，不以总平均替代</t>
        </is>
      </c>
      <c r="E12" s="18" t="inlineStr">
        <is>
          <t>数值</t>
        </is>
      </c>
      <c r="F12" s="18" t="inlineStr">
        <is>
          <t>&gt;=</t>
        </is>
      </c>
      <c r="G12" s="37" t="n">
        <v>90</v>
      </c>
      <c r="H12" s="38">
        <f>IF('20样本评测'!D8="","",'20样本评测'!D8*100)</f>
        <v/>
      </c>
      <c r="I12" s="18" t="inlineStr">
        <is>
          <t>%</t>
        </is>
      </c>
      <c r="J12" s="16" t="n"/>
      <c r="K12" s="16" t="inlineStr">
        <is>
          <t>PR #5</t>
        </is>
      </c>
      <c r="L12" s="18" t="inlineStr">
        <is>
          <t>C</t>
        </is>
      </c>
      <c r="M12" s="22" t="n"/>
      <c r="N12" s="23">
        <f>IF(H12="","待填写",IF(OR(J12="",K12=""),"缺证据",IF(M12="","待接收",IF(E12="数值",IF(IF(F12="&gt;=",H12&gt;=G12,IF(F12="&lt;=",H12&lt;=G12,H12=G12)),IF(M12="通过","通过",IF(M12="退回","退回","待接收")),"未达标"),IF(E12="结论",IF(OR(H12="启用",H12="不启用"),IF(M12="通过","通过",IF(M12="退回","退回","待接收")),"未达标"),IF(H12=G12,IF(M12="通过","通过",IF(M12="退回","退回","待接收")),"未达标"))))))</f>
        <v/>
      </c>
      <c r="O12" s="16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 ht="33" customHeight="1">
      <c r="A13" s="18" t="inlineStr">
        <is>
          <t>B-08</t>
        </is>
      </c>
      <c r="B13" s="36" t="n">
        <v>46284.75</v>
      </c>
      <c r="C13" s="12" t="inlineStr">
        <is>
          <t>城市字段准确率</t>
        </is>
      </c>
      <c r="D13" s="12" t="inlineStr">
        <is>
          <t>单独计算，不以总平均替代</t>
        </is>
      </c>
      <c r="E13" s="18" t="inlineStr">
        <is>
          <t>数值</t>
        </is>
      </c>
      <c r="F13" s="18" t="inlineStr">
        <is>
          <t>&gt;=</t>
        </is>
      </c>
      <c r="G13" s="37" t="n">
        <v>90</v>
      </c>
      <c r="H13" s="38">
        <f>IF('20样本评测'!D9="","",'20样本评测'!D9*100)</f>
        <v/>
      </c>
      <c r="I13" s="18" t="inlineStr">
        <is>
          <t>%</t>
        </is>
      </c>
      <c r="J13" s="16" t="n"/>
      <c r="K13" s="16" t="inlineStr">
        <is>
          <t>PR #5</t>
        </is>
      </c>
      <c r="L13" s="18" t="inlineStr">
        <is>
          <t>C</t>
        </is>
      </c>
      <c r="M13" s="22" t="n"/>
      <c r="N13" s="23">
        <f>IF(H13="","待填写",IF(OR(J13="",K13=""),"缺证据",IF(M13="","待接收",IF(E13="数值",IF(IF(F13="&gt;=",H13&gt;=G13,IF(F13="&lt;=",H13&lt;=G13,H13=G13)),IF(M13="通过","通过",IF(M13="退回","退回","待接收")),"未达标"),IF(E13="结论",IF(OR(H13="启用",H13="不启用"),IF(M13="通过","通过",IF(M13="退回","退回","待接收")),"未达标"),IF(H13=G13,IF(M13="通过","通过",IF(M13="退回","退回","待接收")),"未达标"))))))</f>
        <v/>
      </c>
      <c r="O13" s="16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 ht="33" customHeight="1">
      <c r="A14" s="18" t="inlineStr">
        <is>
          <t>B-09</t>
        </is>
      </c>
      <c r="B14" s="36" t="n">
        <v>46284.75</v>
      </c>
      <c r="C14" s="12" t="inlineStr">
        <is>
          <t>岗位字段准确率</t>
        </is>
      </c>
      <c r="D14" s="12" t="inlineStr">
        <is>
          <t>单独计算，不以总平均替代</t>
        </is>
      </c>
      <c r="E14" s="18" t="inlineStr">
        <is>
          <t>数值</t>
        </is>
      </c>
      <c r="F14" s="18" t="inlineStr">
        <is>
          <t>&gt;=</t>
        </is>
      </c>
      <c r="G14" s="37" t="n">
        <v>90</v>
      </c>
      <c r="H14" s="38">
        <f>IF('20样本评测'!D10="","",'20样本评测'!D10*100)</f>
        <v/>
      </c>
      <c r="I14" s="18" t="inlineStr">
        <is>
          <t>%</t>
        </is>
      </c>
      <c r="J14" s="16" t="n"/>
      <c r="K14" s="16" t="inlineStr">
        <is>
          <t>PR #5</t>
        </is>
      </c>
      <c r="L14" s="18" t="inlineStr">
        <is>
          <t>C</t>
        </is>
      </c>
      <c r="M14" s="22" t="n"/>
      <c r="N14" s="23">
        <f>IF(H14="","待填写",IF(OR(J14="",K14=""),"缺证据",IF(M14="","待接收",IF(E14="数值",IF(IF(F14="&gt;=",H14&gt;=G14,IF(F14="&lt;=",H14&lt;=G14,H14=G14)),IF(M14="通过","通过",IF(M14="退回","退回","待接收")),"未达标"),IF(E14="结论",IF(OR(H14="启用",H14="不启用"),IF(M14="通过","通过",IF(M14="退回","退回","待接收")),"未达标"),IF(H14=G14,IF(M14="通过","通过",IF(M14="退回","退回","待接收")),"未达标"))))))</f>
        <v/>
      </c>
      <c r="O14" s="16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 ht="33" customHeight="1">
      <c r="A15" s="18" t="inlineStr">
        <is>
          <t>B-10</t>
        </is>
      </c>
      <c r="B15" s="36" t="n">
        <v>46284.75</v>
      </c>
      <c r="C15" s="12" t="inlineStr">
        <is>
          <t>同一20样本对照</t>
        </is>
      </c>
      <c r="D15" s="12" t="inlineStr">
        <is>
          <t>OCR和多模态使用相同20张海报</t>
        </is>
      </c>
      <c r="E15" s="18" t="inlineStr">
        <is>
          <t>是非</t>
        </is>
      </c>
      <c r="F15" s="18" t="inlineStr">
        <is>
          <t>=</t>
        </is>
      </c>
      <c r="G15" s="37" t="inlineStr">
        <is>
          <t>是</t>
        </is>
      </c>
      <c r="H15" s="38">
        <f>IF(COUNTIF('20样本评测'!AB15:AB34,"通过")=20,"是","")</f>
        <v/>
      </c>
      <c r="I15" s="18" t="str"/>
      <c r="J15" s="16" t="n"/>
      <c r="K15" s="16" t="inlineStr">
        <is>
          <t>PR #5</t>
        </is>
      </c>
      <c r="L15" s="18" t="inlineStr">
        <is>
          <t>C</t>
        </is>
      </c>
      <c r="M15" s="22" t="n"/>
      <c r="N15" s="23">
        <f>IF(H15="","待填写",IF(OR(J15="",K15=""),"缺证据",IF(M15="","待接收",IF(E15="数值",IF(IF(F15="&gt;=",H15&gt;=G15,IF(F15="&lt;=",H15&lt;=G15,H15=G15)),IF(M15="通过","通过",IF(M15="退回","退回","待接收")),"未达标"),IF(E15="结论",IF(OR(H15="启用",H15="不启用"),IF(M15="通过","通过",IF(M15="退回","退回","待接收")),"未达标"),IF(H15=G15,IF(M15="通过","通过",IF(M15="退回","退回","待接收")),"未达标"))))))</f>
        <v/>
      </c>
      <c r="O15" s="16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 ht="33" customHeight="1">
      <c r="A16" s="18" t="inlineStr">
        <is>
          <t>B-11</t>
        </is>
      </c>
      <c r="B16" s="36" t="n">
        <v>46284.75</v>
      </c>
      <c r="C16" s="12" t="inlineStr">
        <is>
          <t>完整记录与耗时成本已报告</t>
        </is>
      </c>
      <c r="D16" s="12" t="inlineStr">
        <is>
          <t>两路线均报告完整记录准确率、平均/P95耗时和成本</t>
        </is>
      </c>
      <c r="E16" s="18" t="inlineStr">
        <is>
          <t>是非</t>
        </is>
      </c>
      <c r="F16" s="18" t="inlineStr">
        <is>
          <t>=</t>
        </is>
      </c>
      <c r="G16" s="37" t="inlineStr">
        <is>
          <t>是</t>
        </is>
      </c>
      <c r="H16" s="38" t="inlineStr">
        <is>
          <t>是</t>
        </is>
      </c>
      <c r="I16" s="18" t="str"/>
      <c r="J16" s="16" t="inlineStr">
        <is>
          <t>reports/extraction/evaluation_report.json + eval_meta.json（分子分母/耗时/成本可重算）</t>
        </is>
      </c>
      <c r="K16" s="16" t="inlineStr">
        <is>
          <t>PR #5</t>
        </is>
      </c>
      <c r="L16" s="18" t="inlineStr">
        <is>
          <t>C</t>
        </is>
      </c>
      <c r="M16" s="22" t="n"/>
      <c r="N16" s="23">
        <f>IF(H16="","待填写",IF(OR(J16="",K16=""),"缺证据",IF(M16="","待接收",IF(E16="数值",IF(IF(F16="&gt;=",H16&gt;=G16,IF(F16="&lt;=",H16&lt;=G16,H16=G16)),IF(M16="通过","通过",IF(M16="退回","退回","待接收")),"未达标"),IF(E16="结论",IF(OR(H16="启用",H16="不启用"),IF(M16="通过","通过",IF(M16="退回","退回","待接收")),"未达标"),IF(H16=G16,IF(M16="通过","通过",IF(M16="退回","退回","待接收")),"未达标"))))))</f>
        <v/>
      </c>
      <c r="O16" s="16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 ht="33" customHeight="1">
      <c r="A17" s="18" t="inlineStr">
        <is>
          <t>B-12</t>
        </is>
      </c>
      <c r="B17" s="36" t="n">
        <v>46284.75</v>
      </c>
      <c r="C17" s="12" t="inlineStr">
        <is>
          <t>多模态启用结论符合门槛</t>
        </is>
      </c>
      <c r="D17" s="12" t="inlineStr">
        <is>
          <t>评测表必须产生达到5个百分点门槛或未达到不启用的可追溯结论</t>
        </is>
      </c>
      <c r="E17" s="18" t="inlineStr">
        <is>
          <t>结论</t>
        </is>
      </c>
      <c r="F17" s="18" t="inlineStr">
        <is>
          <t>=</t>
        </is>
      </c>
      <c r="G17" s="37" t="inlineStr">
        <is>
          <t>有效结论</t>
        </is>
      </c>
      <c r="H17" s="38">
        <f>IF('20样本评测'!H12="达到5个百分点门槛","启用",IF('20样本评测'!H12="未达到 不启用","不启用",""))</f>
        <v/>
      </c>
      <c r="I17" s="18" t="str"/>
      <c r="J17" s="16" t="n"/>
      <c r="K17" s="16" t="inlineStr">
        <is>
          <t>PR #5</t>
        </is>
      </c>
      <c r="L17" s="18" t="inlineStr">
        <is>
          <t>C</t>
        </is>
      </c>
      <c r="M17" s="22" t="n"/>
      <c r="N17" s="23">
        <f>IF(H17="","待填写",IF(OR(J17="",K17=""),"缺证据",IF(OR(H17="启用",H17="不启用"),IF(M17="通过","通过",IF(M17="退回","退回","待接收")),"未达标")))</f>
        <v/>
      </c>
      <c r="O17" s="16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 ht="33" customHeight="1">
      <c r="A18" s="18" t="inlineStr">
        <is>
          <t>B-13</t>
        </is>
      </c>
      <c r="B18" s="36" t="n">
        <v>46284.75</v>
      </c>
      <c r="C18" s="12" t="inlineStr">
        <is>
          <t>低置信度进入复核队列</t>
        </is>
      </c>
      <c r="D18" s="12" t="inlineStr">
        <is>
          <t>缺失、冲突、低置信度不静默发布</t>
        </is>
      </c>
      <c r="E18" s="18" t="inlineStr">
        <is>
          <t>是非</t>
        </is>
      </c>
      <c r="F18" s="18" t="inlineStr">
        <is>
          <t>=</t>
        </is>
      </c>
      <c r="G18" s="37" t="inlineStr">
        <is>
          <t>是</t>
        </is>
      </c>
      <c r="H18" s="38" t="inlineStr">
        <is>
          <t>是</t>
        </is>
      </c>
      <c r="I18" s="18" t="str"/>
      <c r="J18" s="16" t="inlineStr">
        <is>
          <t>reports/extraction/evaluation_report.json（review_queue逐字段列样本）</t>
        </is>
      </c>
      <c r="K18" s="16" t="inlineStr">
        <is>
          <t>PR #5</t>
        </is>
      </c>
      <c r="L18" s="18" t="inlineStr">
        <is>
          <t>C</t>
        </is>
      </c>
      <c r="M18" s="22" t="n"/>
      <c r="N18" s="23">
        <f>IF(H18="","待填写",IF(OR(J18="",K18=""),"缺证据",IF(M18="","待接收",IF(E18="数值",IF(IF(F18="&gt;=",H18&gt;=G18,IF(F18="&lt;=",H18&lt;=G18,H18=G18)),IF(M18="通过","通过",IF(M18="退回","退回","待接收")),"未达标"),IF(E18="结论",IF(OR(H18="启用",H18="不启用"),IF(M18="通过","通过",IF(M18="退回","退回","待接收")),"未达标"),IF(H18=G18,IF(M18="通过","通过",IF(M18="退回","退回","待接收")),"未达标"))))))</f>
        <v/>
      </c>
      <c r="O18" s="16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 ht="33" customHeight="1">
      <c r="A19" s="18" t="inlineStr">
        <is>
          <t>B-14</t>
        </is>
      </c>
      <c r="B19" s="36" t="n">
        <v>46284.75</v>
      </c>
      <c r="C19" s="12" t="inlineStr">
        <is>
          <t>敏感原图或密钥命中</t>
        </is>
      </c>
      <c r="D19" s="12" t="inlineStr">
        <is>
          <t>仓库扫描命中为0</t>
        </is>
      </c>
      <c r="E19" s="18" t="inlineStr">
        <is>
          <t>数值</t>
        </is>
      </c>
      <c r="F19" s="18" t="inlineStr">
        <is>
          <t>=</t>
        </is>
      </c>
      <c r="G19" s="37" t="n">
        <v>0</v>
      </c>
      <c r="H19" s="38" t="n">
        <v>0</v>
      </c>
      <c r="I19" s="18" t="inlineStr">
        <is>
          <t>项</t>
        </is>
      </c>
      <c r="J19" s="16" t="inlineStr">
        <is>
          <t>PR #5 diff扫描：姓名/密钥/绝对路径0命中</t>
        </is>
      </c>
      <c r="K19" s="16" t="inlineStr">
        <is>
          <t>PR #5</t>
        </is>
      </c>
      <c r="L19" s="18" t="inlineStr">
        <is>
          <t>C</t>
        </is>
      </c>
      <c r="M19" s="22" t="n"/>
      <c r="N19" s="23">
        <f>IF(H19="","待填写",IF(OR(J19="",K19=""),"缺证据",IF(M19="","待接收",IF(E19="数值",IF(IF(F19="&gt;=",H19&gt;=G19,IF(F19="&lt;=",H19&lt;=G19,H19=G19)),IF(M19="通过","通过",IF(M19="退回","退回","待接收")),"未达标"),IF(E19="结论",IF(OR(H19="启用",H19="不启用"),IF(M19="通过","通过",IF(M19="退回","退回","待接收")),"未达标"),IF(H19=G19,IF(M19="通过","通过",IF(M19="退回","退回","待接收")),"未达标"))))))</f>
        <v/>
      </c>
      <c r="O19" s="16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 ht="33" customHeight="1">
      <c r="A20" s="18" t="inlineStr">
        <is>
          <t>B-15</t>
        </is>
      </c>
      <c r="B20" s="36" t="n">
        <v>46284.75</v>
      </c>
      <c r="C20" s="12" t="inlineStr">
        <is>
          <t>固定样本Evidence pack</t>
        </is>
      </c>
      <c r="D20" s="12" t="inlineStr">
        <is>
          <t>5篇记录都有可检索字段证据、来源和复核状态</t>
        </is>
      </c>
      <c r="E20" s="18" t="inlineStr">
        <is>
          <t>数值</t>
        </is>
      </c>
      <c r="F20" s="18" t="inlineStr">
        <is>
          <t>&gt;=</t>
        </is>
      </c>
      <c r="G20" s="37" t="n">
        <v>5</v>
      </c>
      <c r="H20" s="38" t="n">
        <v>5</v>
      </c>
      <c r="I20" s="18" t="inlineStr">
        <is>
          <t>篇</t>
        </is>
      </c>
      <c r="J20" s="16" t="inlineStr">
        <is>
          <t>reports/extraction/eval_raw/（5篇固定样本pack校验；原文件受控目录）</t>
        </is>
      </c>
      <c r="K20" s="16" t="inlineStr">
        <is>
          <t>PR #5</t>
        </is>
      </c>
      <c r="L20" s="18" t="inlineStr">
        <is>
          <t>C</t>
        </is>
      </c>
      <c r="M20" s="22" t="n"/>
      <c r="N20" s="23">
        <f>IF(H20="","待填写",IF(OR(J20="",K20=""),"缺证据",IF(M20="","待接收",IF(E20="数值",IF(IF(F20="&gt;=",H20&gt;=G20,IF(F20="&lt;=",H20&lt;=G20,H20=G20)),IF(M20="通过","通过",IF(M20="退回","退回","待接收")),"未达标"),IF(E20="结论",IF(OR(H20="启用",H20="不启用"),IF(M20="通过","通过",IF(M20="退回","退回","待接收")),"未达标"),IF(H20=G20,IF(M20="通过","通过",IF(M20="退回","退回","待接收")),"未达标"))))))</f>
        <v/>
      </c>
      <c r="O20" s="16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 ht="33" customHeight="1">
      <c r="A21" s="18" t="inlineStr">
        <is>
          <t>B-16</t>
        </is>
      </c>
      <c r="B21" s="36" t="n">
        <v>46284.75</v>
      </c>
      <c r="C21" s="12" t="inlineStr">
        <is>
          <t>外部多模态处理边界</t>
        </is>
      </c>
      <c r="D21" s="12" t="inlineStr">
        <is>
          <t>服务商、模型、发送数据、授权、保留策略、价格日期和脱敏检查均有记录</t>
        </is>
      </c>
      <c r="E21" s="18" t="inlineStr">
        <is>
          <t>是非</t>
        </is>
      </c>
      <c r="F21" s="18" t="inlineStr">
        <is>
          <t>=</t>
        </is>
      </c>
      <c r="G21" s="37" t="inlineStr">
        <is>
          <t>是</t>
        </is>
      </c>
      <c r="H21" s="38" t="inlineStr">
        <is>
          <t>是</t>
        </is>
      </c>
      <c r="I21" s="18" t="str"/>
      <c r="J21" s="16" t="inlineStr">
        <is>
          <t>reports/extraction/eval_meta.json（服务商/模型/素材/授权/保留/价格/脱敏7项齐备）</t>
        </is>
      </c>
      <c r="K21" s="16" t="inlineStr">
        <is>
          <t>PR #5</t>
        </is>
      </c>
      <c r="L21" s="18" t="inlineStr">
        <is>
          <t>C</t>
        </is>
      </c>
      <c r="M21" s="22" t="n"/>
      <c r="N21" s="23">
        <f>IF(H21="","待填写",IF(OR(J21="",K21=""),"缺证据",IF(M21="","待接收",IF(E21="数值",IF(IF(F21="&gt;=",H21&gt;=G21,IF(F21="&lt;=",H21&lt;=G21,H21=G21)),IF(M21="通过","通过",IF(M21="退回","退回","待接收")),"未达标"),IF(E21="结论",IF(OR(H21="启用",H21="不启用"),IF(M21="通过","通过",IF(M21="退回","退回","待接收")),"未达标"),IF(H21=G21,IF(M21="通过","通过",IF(M21="退回","退回","待接收")),"未达标"))))))</f>
        <v/>
      </c>
      <c r="O21" s="16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>
      <c r="A22" s="18" t="inlineStr">
        <is>
          <t>B-17</t>
        </is>
      </c>
      <c r="B22" s="36" t="inlineStr">
        <is>
          <t>2026-09-20 18:00:00</t>
        </is>
      </c>
      <c r="C22" s="12" t="inlineStr">
        <is>
          <t>年级字段准确率（G-增补1 七字段门槛）</t>
        </is>
      </c>
      <c r="D22" s="12" t="inlineStr">
        <is>
          <t>单独计算，不以总平均替代</t>
        </is>
      </c>
      <c r="E22" s="18" t="inlineStr">
        <is>
          <t>数值</t>
        </is>
      </c>
      <c r="F22" s="18" t="inlineStr">
        <is>
          <t>&gt;=</t>
        </is>
      </c>
      <c r="G22" s="37" t="inlineStr">
        <is>
          <t>90</t>
        </is>
      </c>
      <c r="H22" s="38">
        <f>IF(COUNT('20样本评测'!AE15:AE34)=0,"",SUM('20样本评测'!AE15:AE34)/COUNT('20样本评测'!AE15:AE34))</f>
        <v/>
      </c>
      <c r="I22" s="18" t="inlineStr">
        <is>
          <t>%</t>
        </is>
      </c>
      <c r="J22" s="16" t="inlineStr">
        <is>
          <t>reports/extraction/evaluation_report.json（fields_extra_adjudicated）</t>
        </is>
      </c>
      <c r="K22" s="16" t="inlineStr">
        <is>
          <t>PR #5</t>
        </is>
      </c>
      <c r="L22" s="18" t="inlineStr">
        <is>
          <t>C</t>
        </is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>
      <c r="A23" s="18" t="inlineStr">
        <is>
          <t>B-18</t>
        </is>
      </c>
      <c r="B23" s="36" t="inlineStr">
        <is>
          <t>2026-09-20 18:00:00</t>
        </is>
      </c>
      <c r="C23" s="12" t="inlineStr">
        <is>
          <t>学院字段准确率（G-增补1 七字段门槛）</t>
        </is>
      </c>
      <c r="D23" s="12" t="inlineStr">
        <is>
          <t>单独计算，不以总平均替代</t>
        </is>
      </c>
      <c r="E23" s="18" t="inlineStr">
        <is>
          <t>数值</t>
        </is>
      </c>
      <c r="F23" s="18" t="inlineStr">
        <is>
          <t>&gt;=</t>
        </is>
      </c>
      <c r="G23" s="37" t="inlineStr">
        <is>
          <t>90</t>
        </is>
      </c>
      <c r="H23" s="38">
        <f>IF(COUNT('20样本评测'!AF15:AF34)=0,"",SUM('20样本评测'!AF15:AF34)/COUNT('20样本评测'!AF15:AF34))</f>
        <v/>
      </c>
      <c r="I23" s="18" t="inlineStr">
        <is>
          <t>%</t>
        </is>
      </c>
      <c r="J23" s="16" t="inlineStr">
        <is>
          <t>reports/extraction/evaluation_report.json（fields_extra_adjudicated）</t>
        </is>
      </c>
      <c r="K23" s="16" t="inlineStr">
        <is>
          <t>PR #5</t>
        </is>
      </c>
      <c r="L23" s="18" t="inlineStr">
        <is>
          <t>C</t>
        </is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conditionalFormatting sqref="N6:N21">
    <cfRule type="containsText" priority="1" operator="containsText" dxfId="0" text="通过"/>
    <cfRule type="containsText" priority="2" operator="containsText" dxfId="1" text="未达标"/>
    <cfRule type="containsText" priority="3" operator="containsText" dxfId="1" text="退回"/>
    <cfRule type="containsText" priority="4" operator="containsText" dxfId="1" text="缺证据"/>
  </conditionalFormatting>
  <dataValidations count="1">
    <dataValidation sqref="M6:M21" showDropDown="0" showInputMessage="0" showErrorMessage="0" allowBlank="0" type="list">
      <formula1>"未确认,通过,退回"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9" customWidth="1" min="1" max="1"/>
    <col width="15.63000011444092" customWidth="1" min="2" max="2"/>
    <col width="21.8799991607666" customWidth="1" min="3" max="3"/>
    <col width="35" customWidth="1" min="4" max="4"/>
    <col width="9" customWidth="1" min="5" max="5"/>
    <col width="6.880000114440918" customWidth="1" min="6" max="6"/>
    <col width="9" customWidth="1" min="7" max="7"/>
    <col width="9" customWidth="1" min="8" max="8"/>
    <col width="9" customWidth="1" min="9" max="9"/>
    <col width="25" customWidth="1" min="10" max="10"/>
    <col width="18.75" customWidth="1" min="11" max="11"/>
    <col width="7.75" customWidth="1" min="12" max="12"/>
    <col width="10" customWidth="1" min="13" max="13"/>
    <col width="10.25" customWidth="1" min="14" max="14"/>
    <col width="22.5" customWidth="1" min="15" max="15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角色 C 验收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黄色单元格由C依据角色进度文件或PR清单回填。状态必须同时有实际值、证据、Commit/PR和接收确认；主文件由C单写。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项目ID</t>
        </is>
      </c>
      <c r="B5" s="9" t="inlineStr">
        <is>
          <t>截止时间</t>
        </is>
      </c>
      <c r="C5" s="9" t="inlineStr">
        <is>
          <t>验收项</t>
        </is>
      </c>
      <c r="D5" s="9" t="inlineStr">
        <is>
          <t>目标或通过条件</t>
        </is>
      </c>
      <c r="E5" s="9" t="inlineStr">
        <is>
          <t>指标类型</t>
        </is>
      </c>
      <c r="F5" s="9" t="inlineStr">
        <is>
          <t>比较符</t>
        </is>
      </c>
      <c r="G5" s="9" t="inlineStr">
        <is>
          <t>目标值</t>
        </is>
      </c>
      <c r="H5" s="9" t="inlineStr">
        <is>
          <t>实际值</t>
        </is>
      </c>
      <c r="I5" s="9" t="inlineStr">
        <is>
          <t>单位</t>
        </is>
      </c>
      <c r="J5" s="9" t="inlineStr">
        <is>
          <t>证据路径或链接</t>
        </is>
      </c>
      <c r="K5" s="9" t="inlineStr">
        <is>
          <t>Commit或PR</t>
        </is>
      </c>
      <c r="L5" s="9" t="inlineStr">
        <is>
          <t>接收人</t>
        </is>
      </c>
      <c r="M5" s="9" t="inlineStr">
        <is>
          <t>接收确认</t>
        </is>
      </c>
      <c r="N5" s="9" t="inlineStr">
        <is>
          <t>状态</t>
        </is>
      </c>
      <c r="O5" s="9" t="inlineStr">
        <is>
          <t>备注或阻塞</t>
        </is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 ht="33" customHeight="1">
      <c r="A6" s="18" t="inlineStr">
        <is>
          <t>C-01</t>
        </is>
      </c>
      <c r="B6" s="36" t="n">
        <v>46282.5</v>
      </c>
      <c r="C6" s="12" t="inlineStr">
        <is>
          <t>共享契约冻结</t>
        </is>
      </c>
      <c r="D6" s="12" t="inlineStr">
        <is>
          <t>接口字典和两份Schema经A/B确认</t>
        </is>
      </c>
      <c r="E6" s="18" t="inlineStr">
        <is>
          <t>是非</t>
        </is>
      </c>
      <c r="F6" s="18" t="inlineStr">
        <is>
          <t>=</t>
        </is>
      </c>
      <c r="G6" s="37" t="inlineStr">
        <is>
          <t>是</t>
        </is>
      </c>
      <c r="H6" s="38" t="n"/>
      <c r="I6" s="18" t="str"/>
      <c r="J6" s="16" t="n"/>
      <c r="K6" s="16" t="n"/>
      <c r="L6" s="18" t="inlineStr">
        <is>
          <t>A/B</t>
        </is>
      </c>
      <c r="M6" s="22" t="n"/>
      <c r="N6" s="23">
        <f>IF(H6="","待填写",IF(OR(J6="",K6=""),"缺证据",IF(M6="","待接收",IF(E6="数值",IF(IF(F6="&gt;=",H6&gt;=G6,IF(F6="&lt;=",H6&lt;=G6,H6=G6)),IF(M6="通过","通过",IF(M6="退回","退回","待接收")),"未达标"),IF(E6="结论",IF(OR(H6="启用",H6="不启用"),IF(M6="通过","通过",IF(M6="退回","退回","待接收")),"未达标"),IF(H6=G6,IF(M6="通过","通过",IF(M6="退回","退回","待接收")),"未达标"))))))</f>
        <v/>
      </c>
      <c r="O6" s="16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 ht="33" customHeight="1">
      <c r="A7" s="18" t="inlineStr">
        <is>
          <t>C-02</t>
        </is>
      </c>
      <c r="B7" s="36" t="n">
        <v>46282.5</v>
      </c>
      <c r="C7" s="12" t="inlineStr">
        <is>
          <t>Schema示例通过数</t>
        </is>
      </c>
      <c r="D7" s="12" t="inlineStr">
        <is>
          <t>article和extraction示例均通过</t>
        </is>
      </c>
      <c r="E7" s="18" t="inlineStr">
        <is>
          <t>数值</t>
        </is>
      </c>
      <c r="F7" s="18" t="inlineStr">
        <is>
          <t>&gt;=</t>
        </is>
      </c>
      <c r="G7" s="37" t="n">
        <v>2</v>
      </c>
      <c r="H7" s="38" t="n"/>
      <c r="I7" s="18" t="inlineStr">
        <is>
          <t>份</t>
        </is>
      </c>
      <c r="J7" s="16" t="n"/>
      <c r="K7" s="16" t="n"/>
      <c r="L7" s="18" t="inlineStr">
        <is>
          <t>A/B</t>
        </is>
      </c>
      <c r="M7" s="22" t="n"/>
      <c r="N7" s="23">
        <f>IF(H7="","待填写",IF(OR(J7="",K7=""),"缺证据",IF(M7="","待接收",IF(E7="数值",IF(IF(F7="&gt;=",H7&gt;=G7,IF(F7="&lt;=",H7&lt;=G7,H7=G7)),IF(M7="通过","通过",IF(M7="退回","退回","待接收")),"未达标"),IF(E7="结论",IF(OR(H7="启用",H7="不启用"),IF(M7="通过","通过",IF(M7="退回","退回","待接收")),"未达标"),IF(H7=G7,IF(M7="通过","通过",IF(M7="退回","退回","待接收")),"未达标"))))))</f>
        <v/>
      </c>
      <c r="O7" s="16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 ht="33" customHeight="1">
      <c r="A8" s="18" t="inlineStr">
        <is>
          <t>C-03</t>
        </is>
      </c>
      <c r="B8" s="36" t="n">
        <v>46282.91666666666</v>
      </c>
      <c r="C8" s="12" t="inlineStr">
        <is>
          <t>核心数据库表</t>
        </is>
      </c>
      <c r="D8" s="12" t="inlineStr">
        <is>
          <t>articles、assets、experience_records、evidence、processing_events</t>
        </is>
      </c>
      <c r="E8" s="18" t="inlineStr">
        <is>
          <t>数值</t>
        </is>
      </c>
      <c r="F8" s="18" t="inlineStr">
        <is>
          <t>&gt;=</t>
        </is>
      </c>
      <c r="G8" s="37" t="n">
        <v>5</v>
      </c>
      <c r="H8" s="38" t="n"/>
      <c r="I8" s="18" t="inlineStr">
        <is>
          <t>表</t>
        </is>
      </c>
      <c r="J8" s="16" t="n"/>
      <c r="K8" s="16" t="n"/>
      <c r="L8" s="18" t="inlineStr">
        <is>
          <t>A/B</t>
        </is>
      </c>
      <c r="M8" s="22" t="n"/>
      <c r="N8" s="23">
        <f>IF(H8="","待填写",IF(OR(J8="",K8=""),"缺证据",IF(M8="","待接收",IF(E8="数值",IF(IF(F8="&gt;=",H8&gt;=G8,IF(F8="&lt;=",H8&lt;=G8,H8=G8)),IF(M8="通过","通过",IF(M8="退回","退回","待接收")),"未达标"),IF(E8="结论",IF(OR(H8="启用",H8="不启用"),IF(M8="通过","通过",IF(M8="退回","退回","待接收")),"未达标"),IF(H8=G8,IF(M8="通过","通过",IF(M8="退回","退回","待接收")),"未达标"))))))</f>
        <v/>
      </c>
      <c r="O8" s="16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 ht="33" customHeight="1">
      <c r="A9" s="18" t="inlineStr">
        <is>
          <t>C-04</t>
        </is>
      </c>
      <c r="B9" s="36" t="n">
        <v>46283.91666666666</v>
      </c>
      <c r="C9" s="12" t="inlineStr">
        <is>
          <t>重复导入新增记录</t>
        </is>
      </c>
      <c r="D9" s="12" t="inlineStr">
        <is>
          <t>同一bundle导入两次不增行</t>
        </is>
      </c>
      <c r="E9" s="18" t="inlineStr">
        <is>
          <t>数值</t>
        </is>
      </c>
      <c r="F9" s="18" t="inlineStr">
        <is>
          <t>=</t>
        </is>
      </c>
      <c r="G9" s="37" t="n">
        <v>0</v>
      </c>
      <c r="H9" s="38" t="n"/>
      <c r="I9" s="18" t="inlineStr">
        <is>
          <t>条</t>
        </is>
      </c>
      <c r="J9" s="16" t="n"/>
      <c r="K9" s="16" t="n"/>
      <c r="L9" s="18" t="inlineStr">
        <is>
          <t>A/B</t>
        </is>
      </c>
      <c r="M9" s="22" t="n"/>
      <c r="N9" s="23">
        <f>IF(H9="","待填写",IF(OR(J9="",K9=""),"缺证据",IF(M9="","待接收",IF(E9="数值",IF(IF(F9="&gt;=",H9&gt;=G9,IF(F9="&lt;=",H9&lt;=G9,H9=G9)),IF(M9="通过","通过",IF(M9="退回","退回","待接收")),"未达标"),IF(E9="结论",IF(OR(H9="启用",H9="不启用"),IF(M9="通过","通过",IF(M9="退回","退回","待接收")),"未达标"),IF(H9=G9,IF(M9="通过","通过",IF(M9="退回","退回","待接收")),"未达标"))))))</f>
        <v/>
      </c>
      <c r="O9" s="16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 ht="33" customHeight="1">
      <c r="A10" s="18" t="inlineStr">
        <is>
          <t>C-05</t>
        </is>
      </c>
      <c r="B10" s="36" t="n">
        <v>46284.75</v>
      </c>
      <c r="C10" s="12" t="inlineStr">
        <is>
          <t>固定样本完整链路</t>
        </is>
      </c>
      <c r="D10" s="12" t="inlineStr">
        <is>
          <t>采集结果、抽取、入库、查询、详情与证据</t>
        </is>
      </c>
      <c r="E10" s="18" t="inlineStr">
        <is>
          <t>数值</t>
        </is>
      </c>
      <c r="F10" s="18" t="inlineStr">
        <is>
          <t>&gt;=</t>
        </is>
      </c>
      <c r="G10" s="37" t="n">
        <v>5</v>
      </c>
      <c r="H10" s="38" t="n"/>
      <c r="I10" s="18" t="inlineStr">
        <is>
          <t>篇</t>
        </is>
      </c>
      <c r="J10" s="16" t="n"/>
      <c r="K10" s="16" t="n"/>
      <c r="L10" s="18" t="inlineStr">
        <is>
          <t>A/B</t>
        </is>
      </c>
      <c r="M10" s="22" t="n"/>
      <c r="N10" s="23">
        <f>IF(H10="","待填写",IF(OR(J10="",K10=""),"缺证据",IF(M10="","待接收",IF(E10="数值",IF(IF(F10="&gt;=",H10&gt;=G10,IF(F10="&lt;=",H10&lt;=G10,H10=G10)),IF(M10="通过","通过",IF(M10="退回","退回","待接收")),"未达标"),IF(E10="结论",IF(OR(H10="启用",H10="不启用"),IF(M10="通过","通过",IF(M10="退回","退回","待接收")),"未达标"),IF(H10=G10,IF(M10="通过","通过",IF(M10="退回","退回","待接收")),"未达标"))))))</f>
        <v/>
      </c>
      <c r="O10" s="16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 ht="33" customHeight="1">
      <c r="A11" s="18" t="inlineStr">
        <is>
          <t>C-06</t>
        </is>
      </c>
      <c r="B11" s="36" t="n">
        <v>46283.91666666666</v>
      </c>
      <c r="C11" s="12" t="inlineStr">
        <is>
          <t>传统查询可用</t>
        </is>
      </c>
      <c r="D11" s="12" t="inlineStr">
        <is>
          <t>结构化过滤、关键词和无结果放宽提示</t>
        </is>
      </c>
      <c r="E11" s="18" t="inlineStr">
        <is>
          <t>是非</t>
        </is>
      </c>
      <c r="F11" s="18" t="inlineStr">
        <is>
          <t>=</t>
        </is>
      </c>
      <c r="G11" s="37" t="inlineStr">
        <is>
          <t>是</t>
        </is>
      </c>
      <c r="H11" s="38" t="n"/>
      <c r="I11" s="18" t="str"/>
      <c r="J11" s="16" t="n"/>
      <c r="K11" s="16" t="n"/>
      <c r="L11" s="18" t="inlineStr">
        <is>
          <t>A/B</t>
        </is>
      </c>
      <c r="M11" s="22" t="n"/>
      <c r="N11" s="23">
        <f>IF(H11="","待填写",IF(OR(J11="",K11=""),"缺证据",IF(M11="","待接收",IF(E11="数值",IF(IF(F11="&gt;=",H11&gt;=G11,IF(F11="&lt;=",H11&lt;=G11,H11=G11)),IF(M11="通过","通过",IF(M11="退回","退回","待接收")),"未达标"),IF(E11="结论",IF(OR(H11="启用",H11="不启用"),IF(M11="通过","通过",IF(M11="退回","退回","待接收")),"未达标"),IF(H11=G11,IF(M11="通过","通过",IF(M11="退回","退回","待接收")),"未达标"))))))</f>
        <v/>
      </c>
      <c r="O11" s="16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 ht="33" customHeight="1">
      <c r="A12" s="18" t="inlineStr">
        <is>
          <t>C-07</t>
        </is>
      </c>
      <c r="B12" s="36" t="n">
        <v>46284.75</v>
      </c>
      <c r="C12" s="12" t="inlineStr">
        <is>
          <t>白名单QueryPlan</t>
        </is>
      </c>
      <c r="D12" s="12" t="inlineStr">
        <is>
          <t>自然语言不生成SQL，未知字段被拒绝</t>
        </is>
      </c>
      <c r="E12" s="18" t="inlineStr">
        <is>
          <t>是非</t>
        </is>
      </c>
      <c r="F12" s="18" t="inlineStr">
        <is>
          <t>=</t>
        </is>
      </c>
      <c r="G12" s="37" t="inlineStr">
        <is>
          <t>是</t>
        </is>
      </c>
      <c r="H12" s="38" t="n"/>
      <c r="I12" s="18" t="str"/>
      <c r="J12" s="16" t="n"/>
      <c r="K12" s="16" t="n"/>
      <c r="L12" s="18" t="inlineStr">
        <is>
          <t>A/B</t>
        </is>
      </c>
      <c r="M12" s="22" t="n"/>
      <c r="N12" s="23">
        <f>IF(H12="","待填写",IF(OR(J12="",K12=""),"缺证据",IF(M12="","待接收",IF(E12="数值",IF(IF(F12="&gt;=",H12&gt;=G12,IF(F12="&lt;=",H12&lt;=G12,H12=G12)),IF(M12="通过","通过",IF(M12="退回","退回","待接收")),"未达标"),IF(E12="结论",IF(OR(H12="启用",H12="不启用"),IF(M12="通过","通过",IF(M12="退回","退回","待接收")),"未达标"),IF(H12=G12,IF(M12="通过","通过",IF(M12="退回","退回","待接收")),"未达标"))))))</f>
        <v/>
      </c>
      <c r="O12" s="16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 ht="33" customHeight="1">
      <c r="A13" s="18" t="inlineStr">
        <is>
          <t>C-08</t>
        </is>
      </c>
      <c r="B13" s="36" t="n">
        <v>46284.75</v>
      </c>
      <c r="C13" s="12" t="inlineStr">
        <is>
          <t>模型关闭降级</t>
        </is>
      </c>
      <c r="D13" s="12" t="inlineStr">
        <is>
          <t>显示degraded提示，传统查询继续</t>
        </is>
      </c>
      <c r="E13" s="18" t="inlineStr">
        <is>
          <t>是非</t>
        </is>
      </c>
      <c r="F13" s="18" t="inlineStr">
        <is>
          <t>=</t>
        </is>
      </c>
      <c r="G13" s="37" t="inlineStr">
        <is>
          <t>是</t>
        </is>
      </c>
      <c r="H13" s="38" t="n"/>
      <c r="I13" s="18" t="str"/>
      <c r="J13" s="16" t="n"/>
      <c r="K13" s="16" t="n"/>
      <c r="L13" s="18" t="inlineStr">
        <is>
          <t>A/B</t>
        </is>
      </c>
      <c r="M13" s="22" t="n"/>
      <c r="N13" s="23">
        <f>IF(H13="","待填写",IF(OR(J13="",K13=""),"缺证据",IF(M13="","待接收",IF(E13="数值",IF(IF(F13="&gt;=",H13&gt;=G13,IF(F13="&lt;=",H13&lt;=G13,H13=G13)),IF(M13="通过","通过",IF(M13="退回","退回","待接收")),"未达标"),IF(E13="结论",IF(OR(H13="启用",H13="不启用"),IF(M13="通过","通过",IF(M13="退回","退回","待接收")),"未达标"),IF(H13=G13,IF(M13="通过","通过",IF(M13="退回","退回","待接收")),"未达标"))))))</f>
        <v/>
      </c>
      <c r="O13" s="16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 ht="33" customHeight="1">
      <c r="A14" s="18" t="inlineStr">
        <is>
          <t>C-09</t>
        </is>
      </c>
      <c r="B14" s="36" t="n">
        <v>46285.625</v>
      </c>
      <c r="C14" s="12" t="inlineStr">
        <is>
          <t>记录来源可追溯率</t>
        </is>
      </c>
      <c r="D14" s="12" t="inlineStr">
        <is>
          <t>展示记录均可追溯文章或海报证据</t>
        </is>
      </c>
      <c r="E14" s="18" t="inlineStr">
        <is>
          <t>数值</t>
        </is>
      </c>
      <c r="F14" s="18" t="inlineStr">
        <is>
          <t>&gt;=</t>
        </is>
      </c>
      <c r="G14" s="37" t="n">
        <v>100</v>
      </c>
      <c r="H14" s="38" t="n"/>
      <c r="I14" s="18" t="inlineStr">
        <is>
          <t>%</t>
        </is>
      </c>
      <c r="J14" s="16" t="n"/>
      <c r="K14" s="16" t="n"/>
      <c r="L14" s="18" t="inlineStr">
        <is>
          <t>A/B</t>
        </is>
      </c>
      <c r="M14" s="22" t="n"/>
      <c r="N14" s="23">
        <f>IF(H14="","待填写",IF(OR(J14="",K14=""),"缺证据",IF(M14="","待接收",IF(E14="数值",IF(IF(F14="&gt;=",H14&gt;=G14,IF(F14="&lt;=",H14&lt;=G14,H14=G14)),IF(M14="通过","通过",IF(M14="退回","退回","待接收")),"未达标"),IF(E14="结论",IF(OR(H14="启用",H14="不启用"),IF(M14="通过","通过",IF(M14="退回","退回","待接收")),"未达标"),IF(H14=G14,IF(M14="通过","通过",IF(M14="退回","退回","待接收")),"未达标"))))))</f>
        <v/>
      </c>
      <c r="O14" s="16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 ht="33" customHeight="1">
      <c r="A15" s="18" t="inlineStr">
        <is>
          <t>C-10</t>
        </is>
      </c>
      <c r="B15" s="36" t="n">
        <v>46285.625</v>
      </c>
      <c r="C15" s="12" t="inlineStr">
        <is>
          <t>性能查询次数</t>
        </is>
      </c>
      <c r="D15" s="12" t="inlineStr">
        <is>
          <t>使用100行脱敏夹具连续测试</t>
        </is>
      </c>
      <c r="E15" s="18" t="inlineStr">
        <is>
          <t>数值</t>
        </is>
      </c>
      <c r="F15" s="18" t="inlineStr">
        <is>
          <t>&gt;=</t>
        </is>
      </c>
      <c r="G15" s="37" t="n">
        <v>30</v>
      </c>
      <c r="H15" s="38" t="n"/>
      <c r="I15" s="18" t="inlineStr">
        <is>
          <t>次</t>
        </is>
      </c>
      <c r="J15" s="16" t="n"/>
      <c r="K15" s="16" t="n"/>
      <c r="L15" s="18" t="inlineStr">
        <is>
          <t>A/B</t>
        </is>
      </c>
      <c r="M15" s="22" t="n"/>
      <c r="N15" s="23">
        <f>IF(H15="","待填写",IF(OR(J15="",K15=""),"缺证据",IF(M15="","待接收",IF(E15="数值",IF(IF(F15="&gt;=",H15&gt;=G15,IF(F15="&lt;=",H15&lt;=G15,H15=G15)),IF(M15="通过","通过",IF(M15="退回","退回","待接收")),"未达标"),IF(E15="结论",IF(OR(H15="启用",H15="不启用"),IF(M15="通过","通过",IF(M15="退回","退回","待接收")),"未达标"),IF(H15=G15,IF(M15="通过","通过",IF(M15="退回","退回","待接收")),"未达标"))))))</f>
        <v/>
      </c>
      <c r="O15" s="16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 ht="33" customHeight="1">
      <c r="A16" s="18" t="inlineStr">
        <is>
          <t>C-11</t>
        </is>
      </c>
      <c r="B16" s="36" t="n">
        <v>46285.625</v>
      </c>
      <c r="C16" s="12" t="inlineStr">
        <is>
          <t>最大查询耗时</t>
        </is>
      </c>
      <c r="D16" s="12" t="inlineStr">
        <is>
          <t>30次普通查询中的最大值</t>
        </is>
      </c>
      <c r="E16" s="18" t="inlineStr">
        <is>
          <t>数值</t>
        </is>
      </c>
      <c r="F16" s="18" t="inlineStr">
        <is>
          <t>&lt;=</t>
        </is>
      </c>
      <c r="G16" s="37" t="n">
        <v>1</v>
      </c>
      <c r="H16" s="38" t="n"/>
      <c r="I16" s="18" t="inlineStr">
        <is>
          <t>秒</t>
        </is>
      </c>
      <c r="J16" s="16" t="n"/>
      <c r="K16" s="16" t="n"/>
      <c r="L16" s="18" t="inlineStr">
        <is>
          <t>A/B</t>
        </is>
      </c>
      <c r="M16" s="22" t="n"/>
      <c r="N16" s="23">
        <f>IF(H16="","待填写",IF(OR(J16="",K16=""),"缺证据",IF(M16="","待接收",IF(E16="数值",IF(IF(F16="&gt;=",H16&gt;=G16,IF(F16="&lt;=",H16&lt;=G16,H16=G16)),IF(M16="通过","通过",IF(M16="退回","退回","待接收")),"未达标"),IF(E16="结论",IF(OR(H16="启用",H16="不启用"),IF(M16="通过","通过",IF(M16="退回","退回","待接收")),"未达标"),IF(H16=G16,IF(M16="通过","通过",IF(M16="退回","退回","待接收")),"未达标"))))))</f>
        <v/>
      </c>
      <c r="O16" s="16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 ht="33" customHeight="1">
      <c r="A17" s="18" t="inlineStr">
        <is>
          <t>C-12</t>
        </is>
      </c>
      <c r="B17" s="36" t="n">
        <v>46285.625</v>
      </c>
      <c r="C17" s="12" t="inlineStr">
        <is>
          <t>P95查询耗时</t>
        </is>
      </c>
      <c r="D17" s="12" t="inlineStr">
        <is>
          <t>30次普通查询的P95</t>
        </is>
      </c>
      <c r="E17" s="18" t="inlineStr">
        <is>
          <t>数值</t>
        </is>
      </c>
      <c r="F17" s="18" t="inlineStr">
        <is>
          <t>&lt;=</t>
        </is>
      </c>
      <c r="G17" s="37" t="n">
        <v>1</v>
      </c>
      <c r="H17" s="38" t="n"/>
      <c r="I17" s="18" t="inlineStr">
        <is>
          <t>秒</t>
        </is>
      </c>
      <c r="J17" s="16" t="n"/>
      <c r="K17" s="16" t="n"/>
      <c r="L17" s="18" t="inlineStr">
        <is>
          <t>A/B</t>
        </is>
      </c>
      <c r="M17" s="22" t="n"/>
      <c r="N17" s="23">
        <f>IF(H17="","待填写",IF(OR(J17="",K17=""),"缺证据",IF(M17="","待接收",IF(E17="数值",IF(IF(F17="&gt;=",H17&gt;=G17,IF(F17="&lt;=",H17&lt;=G17,H17=G17)),IF(M17="通过","通过",IF(M17="退回","退回","待接收")),"未达标"),IF(E17="结论",IF(OR(H17="启用",H17="不启用"),IF(M17="通过","通过",IF(M17="退回","退回","待接收")),"未达标"),IF(H17=G17,IF(M17="通过","通过",IF(M17="退回","退回","待接收")),"未达标"))))))</f>
        <v/>
      </c>
      <c r="O17" s="16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 ht="33" customHeight="1">
      <c r="A18" s="18" t="inlineStr">
        <is>
          <t>C-13</t>
        </is>
      </c>
      <c r="B18" s="36" t="n">
        <v>46285.625</v>
      </c>
      <c r="C18" s="12" t="inlineStr">
        <is>
          <t>局域网另一设备访问</t>
        </is>
      </c>
      <c r="D18" s="12" t="inlineStr">
        <is>
          <t>首页、搜索和详情均成功</t>
        </is>
      </c>
      <c r="E18" s="18" t="inlineStr">
        <is>
          <t>是非</t>
        </is>
      </c>
      <c r="F18" s="18" t="inlineStr">
        <is>
          <t>=</t>
        </is>
      </c>
      <c r="G18" s="37" t="inlineStr">
        <is>
          <t>是</t>
        </is>
      </c>
      <c r="H18" s="38" t="n"/>
      <c r="I18" s="18" t="str"/>
      <c r="J18" s="16" t="n"/>
      <c r="K18" s="16" t="n"/>
      <c r="L18" s="18" t="inlineStr">
        <is>
          <t>A/B</t>
        </is>
      </c>
      <c r="M18" s="22" t="n"/>
      <c r="N18" s="23">
        <f>IF(H18="","待填写",IF(OR(J18="",K18=""),"缺证据",IF(M18="","待接收",IF(E18="数值",IF(IF(F18="&gt;=",H18&gt;=G18,IF(F18="&lt;=",H18&lt;=G18,H18=G18)),IF(M18="通过","通过",IF(M18="退回","退回","待接收")),"未达标"),IF(E18="结论",IF(OR(H18="启用",H18="不启用"),IF(M18="通过","通过",IF(M18="退回","退回","待接收")),"未达标"),IF(H18=G18,IF(M18="通过","通过",IF(M18="退回","退回","待接收")),"未达标"))))))</f>
        <v/>
      </c>
      <c r="O18" s="16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 ht="33" customHeight="1">
      <c r="A19" s="18" t="inlineStr">
        <is>
          <t>C-14</t>
        </is>
      </c>
      <c r="B19" s="36" t="n">
        <v>46285.625</v>
      </c>
      <c r="C19" s="12" t="inlineStr">
        <is>
          <t>公开响应敏感字段命中</t>
        </is>
      </c>
      <c r="D19" s="12" t="inlineStr">
        <is>
          <t>姓名、头像、二维码、联系方式、会议入口、private_ref、Cookie、密钥、堆栈为0</t>
        </is>
      </c>
      <c r="E19" s="18" t="inlineStr">
        <is>
          <t>数值</t>
        </is>
      </c>
      <c r="F19" s="18" t="inlineStr">
        <is>
          <t>=</t>
        </is>
      </c>
      <c r="G19" s="37" t="n">
        <v>0</v>
      </c>
      <c r="H19" s="38" t="n"/>
      <c r="I19" s="18" t="inlineStr">
        <is>
          <t>项</t>
        </is>
      </c>
      <c r="J19" s="16" t="n"/>
      <c r="K19" s="16" t="n"/>
      <c r="L19" s="18" t="inlineStr">
        <is>
          <t>A/B</t>
        </is>
      </c>
      <c r="M19" s="22" t="n"/>
      <c r="N19" s="23">
        <f>IF(H19="","待填写",IF(OR(J19="",K19=""),"缺证据",IF(M19="","待接收",IF(E19="数值",IF(IF(F19="&gt;=",H19&gt;=G19,IF(F19="&lt;=",H19&lt;=G19,H19=G19)),IF(M19="通过","通过",IF(M19="退回","退回","待接收")),"未达标"),IF(E19="结论",IF(OR(H19="启用",H19="不启用"),IF(M19="通过","通过",IF(M19="退回","退回","待接收")),"未达标"),IF(H19=G19,IF(M19="通过","通过",IF(M19="退回","退回","待接收")),"未达标"))))))</f>
        <v/>
      </c>
      <c r="O19" s="16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 ht="33" customHeight="1">
      <c r="A20" s="18" t="inlineStr">
        <is>
          <t>C-15</t>
        </is>
      </c>
      <c r="B20" s="36" t="n">
        <v>46285.91666666666</v>
      </c>
      <c r="C20" s="12" t="inlineStr">
        <is>
          <t>演示流程完成步骤</t>
        </is>
      </c>
      <c r="D20" s="12" t="inlineStr">
        <is>
          <t>总体手册10步全部录屏复现</t>
        </is>
      </c>
      <c r="E20" s="18" t="inlineStr">
        <is>
          <t>数值</t>
        </is>
      </c>
      <c r="F20" s="18" t="inlineStr">
        <is>
          <t>&gt;=</t>
        </is>
      </c>
      <c r="G20" s="37" t="n">
        <v>10</v>
      </c>
      <c r="H20" s="38" t="n"/>
      <c r="I20" s="18" t="inlineStr">
        <is>
          <t>步</t>
        </is>
      </c>
      <c r="J20" s="16" t="n"/>
      <c r="K20" s="16" t="n"/>
      <c r="L20" s="18" t="inlineStr">
        <is>
          <t>A/B</t>
        </is>
      </c>
      <c r="M20" s="22" t="n"/>
      <c r="N20" s="23">
        <f>IF(H20="","待填写",IF(OR(J20="",K20=""),"缺证据",IF(M20="","待接收",IF(E20="数值",IF(IF(F20="&gt;=",H20&gt;=G20,IF(F20="&lt;=",H20&lt;=G20,H20=G20)),IF(M20="通过","通过",IF(M20="退回","退回","待接收")),"未达标"),IF(E20="结论",IF(OR(H20="启用",H20="不启用"),IF(M20="通过","通过",IF(M20="退回","退回","待接收")),"未达标"),IF(H20=G20,IF(M20="通过","通过",IF(M20="退回","退回","待接收")),"未达标"))))))</f>
        <v/>
      </c>
      <c r="O20" s="16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 ht="33" customHeight="1">
      <c r="A21" s="18" t="inlineStr">
        <is>
          <t>C-16</t>
        </is>
      </c>
      <c r="B21" s="36" t="n">
        <v>46285.99930555555</v>
      </c>
      <c r="C21" s="12" t="inlineStr">
        <is>
          <t>PR与队友检查</t>
        </is>
      </c>
      <c r="D21" s="12" t="inlineStr">
        <is>
          <t>所有合并有PR且main可运行</t>
        </is>
      </c>
      <c r="E21" s="18" t="inlineStr">
        <is>
          <t>是非</t>
        </is>
      </c>
      <c r="F21" s="18" t="inlineStr">
        <is>
          <t>=</t>
        </is>
      </c>
      <c r="G21" s="37" t="inlineStr">
        <is>
          <t>是</t>
        </is>
      </c>
      <c r="H21" s="38" t="n"/>
      <c r="I21" s="18" t="str"/>
      <c r="J21" s="16" t="n"/>
      <c r="K21" s="16" t="n"/>
      <c r="L21" s="18" t="inlineStr">
        <is>
          <t>A/B</t>
        </is>
      </c>
      <c r="M21" s="22" t="n"/>
      <c r="N21" s="23">
        <f>IF(H21="","待填写",IF(OR(J21="",K21=""),"缺证据",IF(M21="","待接收",IF(E21="数值",IF(IF(F21="&gt;=",H21&gt;=G21,IF(F21="&lt;=",H21&lt;=G21,H21=G21)),IF(M21="通过","通过",IF(M21="退回","退回","待接收")),"未达标"),IF(E21="结论",IF(OR(H21="启用",H21="不启用"),IF(M21="通过","通过",IF(M21="退回","退回","待接收")),"未达标"),IF(H21=G21,IF(M21="通过","通过",IF(M21="退回","退回","待接收")),"未达标"))))))</f>
        <v/>
      </c>
      <c r="O21" s="16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 ht="24" customHeight="1">
      <c r="A22" s="18" t="inlineStr">
        <is>
          <t>C-17</t>
        </is>
      </c>
      <c r="B22" s="36" t="n">
        <v>46285.99930555555</v>
      </c>
      <c r="C22" s="12" t="inlineStr">
        <is>
          <t>React/Vite前端迁移</t>
        </is>
      </c>
      <c r="D22" s="12" t="inlineStr">
        <is>
          <t>React+TypeScript+Vite消费Flask API，首页与传统检索可运行</t>
        </is>
      </c>
      <c r="E22" s="18" t="inlineStr">
        <is>
          <t>是非</t>
        </is>
      </c>
      <c r="F22" s="18" t="inlineStr">
        <is>
          <t>=</t>
        </is>
      </c>
      <c r="G22" s="37" t="inlineStr">
        <is>
          <t>是</t>
        </is>
      </c>
      <c r="H22" s="38" t="n"/>
      <c r="I22" s="18" t="str"/>
      <c r="J22" s="16" t="n"/>
      <c r="K22" s="16" t="n"/>
      <c r="L22" s="18" t="inlineStr">
        <is>
          <t>A/B</t>
        </is>
      </c>
      <c r="M22" s="22" t="n"/>
      <c r="N22" s="23">
        <f>IF(H22="","待填写",IF(OR(J22="",K22=""),"缺证据",IF(M22="","待接收",IF(E22="数值",IF(IF(F22="&gt;=",H22&gt;=G22,IF(F22="&lt;=",H22&lt;=G22,H22=G22)),IF(M22="通过","通过",IF(M22="退回","退回","待接收")),"未达标"),IF(E22="结论",IF(OR(H22="启用",H22="不启用"),IF(M22="通过","通过",IF(M22="退回","退回","待接收")),"未达标"),IF(H22=G22,IF(M22="通过","通过",IF(M22="退回","退回","待接收")),"未达标"))))))</f>
        <v/>
      </c>
      <c r="O22" s="16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 ht="36" customHeight="1">
      <c r="A23" s="18" t="inlineStr">
        <is>
          <t>C-18</t>
        </is>
      </c>
      <c r="B23" s="36" t="n">
        <v>46285.99930555555</v>
      </c>
      <c r="C23" s="12" t="inlineStr">
        <is>
          <t>健康检查与云端部署清单</t>
        </is>
      </c>
      <c r="D23" s="12" t="inlineStr">
        <is>
          <t>LAN GET /healthz返回2xx；服务器、域名、反向代理、证书和续期清单齐全</t>
        </is>
      </c>
      <c r="E23" s="18" t="inlineStr">
        <is>
          <t>是非</t>
        </is>
      </c>
      <c r="F23" s="18" t="inlineStr">
        <is>
          <t>=</t>
        </is>
      </c>
      <c r="G23" s="37" t="inlineStr">
        <is>
          <t>是</t>
        </is>
      </c>
      <c r="H23" s="38" t="n"/>
      <c r="I23" s="18" t="str"/>
      <c r="J23" s="16" t="n"/>
      <c r="K23" s="16" t="n"/>
      <c r="L23" s="18" t="inlineStr">
        <is>
          <t>A/B</t>
        </is>
      </c>
      <c r="M23" s="22" t="n"/>
      <c r="N23" s="23">
        <f>IF(H23="","待填写",IF(OR(J23="",K23=""),"缺证据",IF(M23="","待接收",IF(E23="数值",IF(IF(F23="&gt;=",H23&gt;=G23,IF(F23="&lt;=",H23&lt;=G23,H23=G23)),IF(M23="通过","通过",IF(M23="退回","退回","待接收")),"未达标"),IF(E23="结论",IF(OR(H23="启用",H23="不启用"),IF(M23="通过","通过",IF(M23="退回","退回","待接收")),"未达标"),IF(H23=G23,IF(M23="通过","通过",IF(M23="退回","退回","待接收")),"未达标"))))))</f>
        <v/>
      </c>
      <c r="O23" s="16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 ht="36" customHeight="1">
      <c r="A24" s="18" t="inlineStr">
        <is>
          <t>C-19</t>
        </is>
      </c>
      <c r="B24" s="36" t="n">
        <v>46285.625</v>
      </c>
      <c r="C24" s="12" t="inlineStr">
        <is>
          <t>三角色服务端权限</t>
        </is>
      </c>
      <c r="D24" s="12" t="inlineStr">
        <is>
          <t>CAS目标明确；开发角色开关受环境变量保护，guest、student/teacher、admin与越权拒绝通过</t>
        </is>
      </c>
      <c r="E24" s="18" t="inlineStr">
        <is>
          <t>是非</t>
        </is>
      </c>
      <c r="F24" s="18" t="inlineStr">
        <is>
          <t>=</t>
        </is>
      </c>
      <c r="G24" s="37" t="inlineStr">
        <is>
          <t>是</t>
        </is>
      </c>
      <c r="H24" s="38" t="n"/>
      <c r="I24" s="18" t="str"/>
      <c r="J24" s="16" t="n"/>
      <c r="K24" s="16" t="n"/>
      <c r="L24" s="18" t="inlineStr">
        <is>
          <t>A/B</t>
        </is>
      </c>
      <c r="M24" s="22" t="n"/>
      <c r="N24" s="23">
        <f>IF(H24="","待填写",IF(OR(J24="",K24=""),"缺证据",IF(M24="","待接收",IF(E24="数值",IF(IF(F24="&gt;=",H24&gt;=G24,IF(F24="&lt;=",H24&lt;=G24,H24=G24)),IF(M24="通过","通过",IF(M24="退回","退回","待接收")),"未达标"),IF(E24="结论",IF(OR(H24="启用",H24="不启用"),IF(M24="通过","通过",IF(M24="退回","退回","待接收")),"未达标"),IF(H24=G24,IF(M24="通过","通过",IF(M24="退回","退回","待接收")),"未达标"))))))</f>
        <v/>
      </c>
      <c r="O24" s="16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 ht="24" customHeight="1">
      <c r="A25" s="18" t="inlineStr">
        <is>
          <t>C-20</t>
        </is>
      </c>
      <c r="B25" s="36" t="n">
        <v>46285.625</v>
      </c>
      <c r="C25" s="12" t="inlineStr">
        <is>
          <t>带引用回答三路径</t>
        </is>
      </c>
      <c r="D25" s="12" t="inlineStr">
        <is>
          <t>模型开启、关闭、证据缺失均按契约响应；未启用Embedding</t>
        </is>
      </c>
      <c r="E25" s="18" t="inlineStr">
        <is>
          <t>是非</t>
        </is>
      </c>
      <c r="F25" s="18" t="inlineStr">
        <is>
          <t>=</t>
        </is>
      </c>
      <c r="G25" s="37" t="inlineStr">
        <is>
          <t>是</t>
        </is>
      </c>
      <c r="H25" s="38" t="n"/>
      <c r="I25" s="18" t="str"/>
      <c r="J25" s="16" t="n"/>
      <c r="K25" s="16" t="n"/>
      <c r="L25" s="18" t="inlineStr">
        <is>
          <t>A/B</t>
        </is>
      </c>
      <c r="M25" s="22" t="n"/>
      <c r="N25" s="23">
        <f>IF(H25="","待填写",IF(OR(J25="",K25=""),"缺证据",IF(M25="","待接收",IF(E25="数值",IF(IF(F25="&gt;=",H25&gt;=G25,IF(F25="&lt;=",H25&lt;=G25,H25=G25)),IF(M25="通过","通过",IF(M25="退回","退回","待接收")),"未达标"),IF(E25="结论",IF(OR(H25="启用",H25="不启用"),IF(M25="通过","通过",IF(M25="退回","退回","待接收")),"未达标"),IF(H25=G25,IF(M25="通过","通过",IF(M25="退回","退回","待接收")),"未达标"))))))</f>
        <v/>
      </c>
      <c r="O25" s="16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 ht="33" customHeight="1">
      <c r="A26" s="18" t="inlineStr">
        <is>
          <t>C-21</t>
        </is>
      </c>
      <c r="B26" s="36" t="n">
        <v>46285.625</v>
      </c>
      <c r="C26" s="12" t="inlineStr">
        <is>
          <t>390×844移动视口</t>
        </is>
      </c>
      <c r="D26" s="12" t="inlineStr">
        <is>
          <t>首页、筛选、详情、证据和角色切换无横向溢出</t>
        </is>
      </c>
      <c r="E26" s="18" t="inlineStr">
        <is>
          <t>是非</t>
        </is>
      </c>
      <c r="F26" s="18" t="inlineStr">
        <is>
          <t>=</t>
        </is>
      </c>
      <c r="G26" s="37" t="inlineStr">
        <is>
          <t>是</t>
        </is>
      </c>
      <c r="H26" s="38" t="n"/>
      <c r="I26" s="18" t="str"/>
      <c r="J26" s="16" t="n"/>
      <c r="K26" s="16" t="n"/>
      <c r="L26" s="18" t="inlineStr">
        <is>
          <t>A/B</t>
        </is>
      </c>
      <c r="M26" s="22" t="n"/>
      <c r="N26" s="23">
        <f>IF(H26="","待填写",IF(OR(J26="",K26=""),"缺证据",IF(M26="","待接收",IF(E26="数值",IF(IF(F26="&gt;=",H26&gt;=G26,IF(F26="&lt;=",H26&lt;=G26,H26=G26)),IF(M26="通过","通过",IF(M26="退回","退回","待接收")),"未达标"),IF(E26="结论",IF(OR(H26="启用",H26="不启用"),IF(M26="通过","通过",IF(M26="退回","退回","待接收")),"未达标"),IF(H26=G26,IF(M26="通过","通过",IF(M26="退回","退回","待接收")),"未达标"))))))</f>
        <v/>
      </c>
      <c r="O26" s="16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 ht="33" customHeight="1">
      <c r="A27" s="18" t="inlineStr">
        <is>
          <t>C-22</t>
        </is>
      </c>
      <c r="B27" s="36" t="n">
        <v>46285.625</v>
      </c>
      <c r="C27" s="12" t="inlineStr">
        <is>
          <t>768×1024平板视口</t>
        </is>
      </c>
      <c r="D27" s="12" t="inlineStr">
        <is>
          <t>首页、筛选、详情、证据和角色切换可操作</t>
        </is>
      </c>
      <c r="E27" s="18" t="inlineStr">
        <is>
          <t>是非</t>
        </is>
      </c>
      <c r="F27" s="18" t="inlineStr">
        <is>
          <t>=</t>
        </is>
      </c>
      <c r="G27" s="37" t="inlineStr">
        <is>
          <t>是</t>
        </is>
      </c>
      <c r="H27" s="38" t="n"/>
      <c r="I27" s="18" t="str"/>
      <c r="J27" s="16" t="n"/>
      <c r="K27" s="16" t="n"/>
      <c r="L27" s="18" t="inlineStr">
        <is>
          <t>A/B</t>
        </is>
      </c>
      <c r="M27" s="22" t="n"/>
      <c r="N27" s="23">
        <f>IF(H27="","待填写",IF(OR(J27="",K27=""),"缺证据",IF(M27="","待接收",IF(E27="数值",IF(IF(F27="&gt;=",H27&gt;=G27,IF(F27="&lt;=",H27&lt;=G27,H27=G27)),IF(M27="通过","通过",IF(M27="退回","退回","待接收")),"未达标"),IF(E27="结论",IF(OR(H27="启用",H27="不启用"),IF(M27="通过","通过",IF(M27="退回","退回","待接收")),"未达标"),IF(H27=G27,IF(M27="通过","通过",IF(M27="退回","退回","待接收")),"未达标"))))))</f>
        <v/>
      </c>
      <c r="O27" s="16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conditionalFormatting sqref="N6:N27">
    <cfRule type="containsText" priority="1" operator="containsText" dxfId="0" text="通过"/>
    <cfRule type="containsText" priority="2" operator="containsText" dxfId="1" text="未达标"/>
    <cfRule type="containsText" priority="3" operator="containsText" dxfId="1" text="退回"/>
    <cfRule type="containsText" priority="4" operator="containsText" dxfId="1" text="缺证据"/>
  </conditionalFormatting>
  <dataValidations count="1">
    <dataValidation sqref="M6:M27" showDropDown="0" showInputMessage="0" showErrorMessage="0" allowBlank="0" type="list">
      <formula1>"未确认,通过,退回"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.75" customWidth="1" min="1" max="1"/>
    <col width="8.130000114440918" customWidth="1" min="2" max="2"/>
    <col width="22.5" customWidth="1" min="3" max="3"/>
    <col width="15.63000011444092" customWidth="1" min="4" max="4"/>
    <col width="19.3799991607666" customWidth="1" min="5" max="5"/>
    <col width="8.75" customWidth="1" min="6" max="6"/>
    <col width="26.25" customWidth="1" min="7" max="7"/>
    <col width="28.75" customWidth="1" min="8" max="8"/>
    <col width="15.63000011444092" customWidth="1" min="9" max="9"/>
    <col width="9.380000114440918" customWidth="1" min="10" max="10"/>
    <col width="23.75" customWidth="1" min="11" max="11"/>
    <col width="22.5" customWidth="1" min="12" max="12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协作交接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生产者与接收者在角色进度文件登记；C在4小时窗口内统一回填黄色单元格。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交接ID</t>
        </is>
      </c>
      <c r="B5" s="9" t="inlineStr">
        <is>
          <t>生产者</t>
        </is>
      </c>
      <c r="C5" s="9" t="inlineStr">
        <is>
          <t>输出</t>
        </is>
      </c>
      <c r="D5" s="9" t="inlineStr">
        <is>
          <t>最晚时间</t>
        </is>
      </c>
      <c r="E5" s="9" t="inlineStr">
        <is>
          <t>版本或Commit</t>
        </is>
      </c>
      <c r="F5" s="9" t="inlineStr">
        <is>
          <t>接收者</t>
        </is>
      </c>
      <c r="G5" s="9" t="inlineStr">
        <is>
          <t>接收方式</t>
        </is>
      </c>
      <c r="H5" s="9" t="inlineStr">
        <is>
          <t>接收验收</t>
        </is>
      </c>
      <c r="I5" s="9" t="inlineStr">
        <is>
          <t>接收时间</t>
        </is>
      </c>
      <c r="J5" s="9" t="inlineStr">
        <is>
          <t>结果</t>
        </is>
      </c>
      <c r="K5" s="9" t="inlineStr">
        <is>
          <t>问题与处理</t>
        </is>
      </c>
      <c r="L5" s="9" t="inlineStr">
        <is>
          <t>证据链接</t>
        </is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>
      <c r="A6" s="12" t="inlineStr">
        <is>
          <t>H-01</t>
        </is>
      </c>
      <c r="B6" s="12" t="inlineStr">
        <is>
          <t>C</t>
        </is>
      </c>
      <c r="C6" s="12" t="inlineStr">
        <is>
          <t>接口字典和两份Schema</t>
        </is>
      </c>
      <c r="D6" s="39" t="n">
        <v>46282.5</v>
      </c>
      <c r="E6" s="16" t="n"/>
      <c r="F6" s="12" t="inlineStr">
        <is>
          <t>A/B</t>
        </is>
      </c>
      <c r="G6" s="12" t="inlineStr">
        <is>
          <t>git pull main后本地校验示例</t>
        </is>
      </c>
      <c r="H6" s="12" t="inlineStr">
        <is>
          <t>非法字段失败，合法示例通过</t>
        </is>
      </c>
      <c r="I6" s="40" t="n"/>
      <c r="J6" s="16" t="n"/>
      <c r="K6" s="16" t="n"/>
      <c r="L6" s="16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>
      <c r="A7" s="12" t="inlineStr">
        <is>
          <t>H-02</t>
        </is>
      </c>
      <c r="B7" s="12" t="inlineStr">
        <is>
          <t>A</t>
        </is>
      </c>
      <c r="C7" s="12" t="inlineStr">
        <is>
          <t>5篇article bundle</t>
        </is>
      </c>
      <c r="D7" s="39" t="n">
        <v>46282.75</v>
      </c>
      <c r="E7" s="16" t="n"/>
      <c r="F7" s="12" t="inlineStr">
        <is>
          <t>B/C</t>
        </is>
      </c>
      <c r="G7" s="12" t="inlineStr">
        <is>
          <t>按commit拉取；原图走受控渠道</t>
        </is>
      </c>
      <c r="H7" s="12" t="inlineStr">
        <is>
          <t>5/5 Schema通过，SHA-256相符；22:00前完成接收</t>
        </is>
      </c>
      <c r="I7" s="40" t="n"/>
      <c r="J7" s="16" t="n"/>
      <c r="K7" s="16" t="n"/>
      <c r="L7" s="16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>
      <c r="A8" s="12" t="inlineStr">
        <is>
          <t>H-03</t>
        </is>
      </c>
      <c r="B8" s="12" t="inlineStr">
        <is>
          <t>A</t>
        </is>
      </c>
      <c r="C8" s="12" t="inlineStr">
        <is>
          <t>100篇状态台账</t>
        </is>
      </c>
      <c r="D8" s="39" t="n">
        <v>46283.91666666666</v>
      </c>
      <c r="E8" s="16" t="n"/>
      <c r="F8" s="12" t="inlineStr">
        <is>
          <t>C</t>
        </is>
      </c>
      <c r="G8" s="12" t="inlineStr">
        <is>
          <t>导入articles和processing_events</t>
        </is>
      </c>
      <c r="H8" s="12" t="inlineStr">
        <is>
          <t>无重复notice_id，失败均有原因</t>
        </is>
      </c>
      <c r="I8" s="40" t="n"/>
      <c r="J8" s="16" t="n"/>
      <c r="K8" s="16" t="n"/>
      <c r="L8" s="16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>
      <c r="A9" s="12" t="inlineStr">
        <is>
          <t>H-04</t>
        </is>
      </c>
      <c r="B9" s="12" t="inlineStr">
        <is>
          <t>B</t>
        </is>
      </c>
      <c r="C9" s="12" t="inlineStr">
        <is>
          <t>5篇extraction bundle</t>
        </is>
      </c>
      <c r="D9" s="39" t="n">
        <v>46284.5</v>
      </c>
      <c r="E9" s="16" t="n"/>
      <c r="F9" s="12" t="inlineStr">
        <is>
          <t>C</t>
        </is>
      </c>
      <c r="G9" s="12" t="inlineStr">
        <is>
          <t>按commit导入</t>
        </is>
      </c>
      <c r="H9" s="12" t="inlineStr">
        <is>
          <t>一帖多人、null、证据和状态正确</t>
        </is>
      </c>
      <c r="I9" s="40" t="n"/>
      <c r="J9" s="16" t="n"/>
      <c r="K9" s="16" t="n"/>
      <c r="L9" s="16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>
      <c r="A10" s="12" t="inlineStr">
        <is>
          <t>H-05</t>
        </is>
      </c>
      <c r="B10" s="12" t="inlineStr">
        <is>
          <t>B</t>
        </is>
      </c>
      <c r="C10" s="12" t="inlineStr">
        <is>
          <t>20样本评测</t>
        </is>
      </c>
      <c r="D10" s="39" t="n">
        <v>46284.75</v>
      </c>
      <c r="E10" s="16" t="n"/>
      <c r="F10" s="12" t="inlineStr">
        <is>
          <t>C</t>
        </is>
      </c>
      <c r="G10" s="12" t="inlineStr">
        <is>
          <t>读取原始结果和汇总</t>
        </is>
      </c>
      <c r="H10" s="12" t="inlineStr">
        <is>
          <t>分子分母可重算，启用结论符合门槛</t>
        </is>
      </c>
      <c r="I10" s="40" t="n"/>
      <c r="J10" s="16" t="n"/>
      <c r="K10" s="16" t="n"/>
      <c r="L10" s="16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 ht="24" customHeight="1">
      <c r="A11" s="12" t="inlineStr">
        <is>
          <t>H-06</t>
        </is>
      </c>
      <c r="B11" s="12" t="inlineStr">
        <is>
          <t>C</t>
        </is>
      </c>
      <c r="C11" s="12" t="inlineStr">
        <is>
          <t>React/LAN与部署清单演示包</t>
        </is>
      </c>
      <c r="D11" s="39" t="n">
        <v>46285.625</v>
      </c>
      <c r="E11" s="16" t="n"/>
      <c r="F11" s="12" t="inlineStr">
        <is>
          <t>A/B</t>
        </is>
      </c>
      <c r="G11" s="12" t="inlineStr">
        <is>
          <t>走LAN关键流程并审查云端HTTPS清单</t>
        </is>
      </c>
      <c r="H11" s="12" t="inlineStr">
        <is>
          <t>React前端、健康、权限、证据、移动端、降级和恢复均通过</t>
        </is>
      </c>
      <c r="I11" s="40" t="n"/>
      <c r="J11" s="16" t="n"/>
      <c r="K11" s="16" t="n"/>
      <c r="L11" s="16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dataValidations count="1">
    <dataValidation sqref="J6:J11" showDropDown="0" showInputMessage="0" showErrorMessage="0" allowBlank="0" type="list">
      <formula1>"未接收,通过,退回"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"/>
  <sheetViews>
    <sheetView showGridLines="0" workbookViewId="0">
      <pane xSplit="2" ySplit="14" topLeftCell="C15" activePane="bottomRight" state="frozen"/>
      <selection activeCell="A1" sqref="A1"/>
    </sheetView>
  </sheetViews>
  <sheetFormatPr baseColWidth="8" defaultRowHeight="15"/>
  <cols>
    <col width="8.75" customWidth="1" min="1" max="1"/>
    <col width="26.25" customWidth="1" min="2" max="2"/>
    <col width="13.13000011444092" customWidth="1" min="3" max="3"/>
    <col width="13.13000011444092" customWidth="1" min="4" max="4"/>
    <col width="16.25" customWidth="1" min="5" max="5"/>
    <col width="13.13000011444092" customWidth="1" min="6" max="6"/>
    <col width="18.75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.25" customWidth="1" min="13" max="13"/>
    <col width="9.380000114440918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.88000011444092" customWidth="1" min="20" max="20"/>
    <col width="10.63000011444092" customWidth="1" min="21" max="21"/>
    <col width="11.25" customWidth="1" min="22" max="22"/>
    <col width="23.75" customWidth="1" min="23" max="23"/>
    <col width="11.25" customWidth="1" min="24" max="24"/>
    <col width="11.25" customWidth="1" min="25" max="25"/>
    <col width="13.13000011444092" customWidth="1" min="26" max="26"/>
    <col width="11.88000011444092" customWidth="1" min="27" max="27"/>
    <col width="13.13000011444092" customWidth="1" min="28" max="28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20张海报评测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先冻结人工金标准，再在同一20张样本上填写OCR和多模态结果。SHA-256须为64位十六进制；学历使用下拉枚举；正确填1，错误填0。C将本表结论回链到B验收。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指标</t>
        </is>
      </c>
      <c r="B5" s="9" t="inlineStr">
        <is>
          <t>OCR正确数</t>
        </is>
      </c>
      <c r="C5" s="9" t="inlineStr">
        <is>
          <t>OCR分母</t>
        </is>
      </c>
      <c r="D5" s="9" t="inlineStr">
        <is>
          <t>OCR准确率</t>
        </is>
      </c>
      <c r="E5" s="9" t="inlineStr">
        <is>
          <t>多模态正确数</t>
        </is>
      </c>
      <c r="F5" s="9" t="inlineStr">
        <is>
          <t>多模态分母</t>
        </is>
      </c>
      <c r="G5" s="9" t="inlineStr">
        <is>
          <t>多模态准确率</t>
        </is>
      </c>
      <c r="H5" s="9" t="inlineStr">
        <is>
          <t>结论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>
      <c r="A6" s="12" t="inlineStr">
        <is>
          <t>届别</t>
        </is>
      </c>
      <c r="B6" s="12">
        <f>IF(COUNT(H15:H34)=0,"",SUM(H15:H34))</f>
        <v/>
      </c>
      <c r="C6" s="12">
        <f>IF(COUNT(H15:H34)=0,"",COUNT(H15:H34))</f>
        <v/>
      </c>
      <c r="D6" s="41">
        <f>IF(C6=0,"",B6/C6)</f>
        <v/>
      </c>
      <c r="E6" s="12">
        <f>IF(COUNT(O15:O34)=0,"",SUM(O15:O34))</f>
        <v/>
      </c>
      <c r="F6" s="12">
        <f>IF(COUNT(O15:O34)=0,"",COUNT(O15:O34))</f>
        <v/>
      </c>
      <c r="G6" s="41">
        <f>IF(F6=0,"",E6/F6)</f>
        <v/>
      </c>
      <c r="H6" s="12">
        <f>IF(COUNTIF($AA$15:$AA$34,"通过")&lt;20,"金标准未完成",IF(COUNTIF($AB$15:$AB$34,"通过")&lt;20,"同批校验未通过",IF(OR(C6="",F6=""),"待填写",IF(OR(C6&lt;20,F6&lt;20),"样本不足",IF(AND(D6&gt;=0.9,G6&gt;=0.9),"完成","检查弱项")))))</f>
        <v/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>
      <c r="A7" s="12" t="inlineStr">
        <is>
          <t>学历</t>
        </is>
      </c>
      <c r="B7" s="12">
        <f>IF(COUNT(I15:I34)=0,"",SUM(I15:I34))</f>
        <v/>
      </c>
      <c r="C7" s="12">
        <f>IF(COUNT(I15:I34)=0,"",COUNT(I15:I34))</f>
        <v/>
      </c>
      <c r="D7" s="41">
        <f>IF(C7=0,"",B7/C7)</f>
        <v/>
      </c>
      <c r="E7" s="12">
        <f>IF(COUNT(P15:P34)=0,"",SUM(P15:P34))</f>
        <v/>
      </c>
      <c r="F7" s="12">
        <f>IF(COUNT(P15:P34)=0,"",COUNT(P15:P34))</f>
        <v/>
      </c>
      <c r="G7" s="41">
        <f>IF(F7=0,"",E7/F7)</f>
        <v/>
      </c>
      <c r="H7" s="12">
        <f>IF(COUNTIF($AA$15:$AA$34,"通过")&lt;20,"金标准未完成",IF(COUNTIF($AB$15:$AB$34,"通过")&lt;20,"同批校验未通过",IF(OR(C7="",F7=""),"待填写",IF(OR(C7&lt;20,F7&lt;20),"样本不足",IF(AND(D7&gt;=0.9,G7&gt;=0.9),"完成","检查弱项")))))</f>
        <v/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>
      <c r="A8" s="12" t="inlineStr">
        <is>
          <t>专业</t>
        </is>
      </c>
      <c r="B8" s="12">
        <f>IF(COUNT(J15:J34)=0,"",SUM(J15:J34))</f>
        <v/>
      </c>
      <c r="C8" s="12">
        <f>IF(COUNT(J15:J34)=0,"",COUNT(J15:J34))</f>
        <v/>
      </c>
      <c r="D8" s="41">
        <f>IF(C8=0,"",B8/C8)</f>
        <v/>
      </c>
      <c r="E8" s="12">
        <f>IF(COUNT(Q15:Q34)=0,"",SUM(Q15:Q34))</f>
        <v/>
      </c>
      <c r="F8" s="12">
        <f>IF(COUNT(Q15:Q34)=0,"",COUNT(Q15:Q34))</f>
        <v/>
      </c>
      <c r="G8" s="41">
        <f>IF(F8=0,"",E8/F8)</f>
        <v/>
      </c>
      <c r="H8" s="12">
        <f>IF(COUNTIF($AA$15:$AA$34,"通过")&lt;20,"金标准未完成",IF(COUNTIF($AB$15:$AB$34,"通过")&lt;20,"同批校验未通过",IF(OR(C8="",F8=""),"待填写",IF(OR(C8&lt;20,F8&lt;20),"样本不足",IF(AND(D8&gt;=0.9,G8&gt;=0.9),"完成","检查弱项")))))</f>
        <v/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>
      <c r="A9" s="12" t="inlineStr">
        <is>
          <t>城市</t>
        </is>
      </c>
      <c r="B9" s="12">
        <f>IF(COUNT(K15:K34)=0,"",SUM(K15:K34))</f>
        <v/>
      </c>
      <c r="C9" s="12">
        <f>IF(COUNT(K15:K34)=0,"",COUNT(K15:K34))</f>
        <v/>
      </c>
      <c r="D9" s="41">
        <f>IF(C9=0,"",B9/C9)</f>
        <v/>
      </c>
      <c r="E9" s="12">
        <f>IF(COUNT(R15:R34)=0,"",SUM(R15:R34))</f>
        <v/>
      </c>
      <c r="F9" s="12">
        <f>IF(COUNT(R15:R34)=0,"",COUNT(R15:R34))</f>
        <v/>
      </c>
      <c r="G9" s="41">
        <f>IF(F9=0,"",E9/F9)</f>
        <v/>
      </c>
      <c r="H9" s="12">
        <f>IF(COUNTIF($AA$15:$AA$34,"通过")&lt;20,"金标准未完成",IF(COUNTIF($AB$15:$AB$34,"通过")&lt;20,"同批校验未通过",IF(OR(C9="",F9=""),"待填写",IF(OR(C9&lt;20,F9&lt;20),"样本不足",IF(AND(D9&gt;=0.9,G9&gt;=0.9),"完成","检查弱项")))))</f>
        <v/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>
      <c r="A10" s="12" t="inlineStr">
        <is>
          <t>岗位</t>
        </is>
      </c>
      <c r="B10" s="12">
        <f>IF(COUNT(L15:L34)=0,"",SUM(L15:L34))</f>
        <v/>
      </c>
      <c r="C10" s="12">
        <f>IF(COUNT(L15:L34)=0,"",COUNT(L15:L34))</f>
        <v/>
      </c>
      <c r="D10" s="41">
        <f>IF(C10=0,"",B10/C10)</f>
        <v/>
      </c>
      <c r="E10" s="12">
        <f>IF(COUNT(S15:S34)=0,"",SUM(S15:S34))</f>
        <v/>
      </c>
      <c r="F10" s="12">
        <f>IF(COUNT(S15:S34)=0,"",COUNT(S15:S34))</f>
        <v/>
      </c>
      <c r="G10" s="41">
        <f>IF(F10=0,"",E10/F10)</f>
        <v/>
      </c>
      <c r="H10" s="12">
        <f>IF(COUNTIF($AA$15:$AA$34,"通过")&lt;20,"金标准未完成",IF(COUNTIF($AB$15:$AB$34,"通过")&lt;20,"同批校验未通过",IF(OR(C10="",F10=""),"待填写",IF(OR(C10&lt;20,F10&lt;20),"样本不足",IF(AND(D10&gt;=0.9,G10&gt;=0.9),"完成","检查弱项")))))</f>
        <v/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>
      <c r="A11" s="12" t="inlineStr">
        <is>
          <t>完整记录</t>
        </is>
      </c>
      <c r="B11" s="12">
        <f>IF(COUNT(M15:M34)=0,"",SUM(M15:M34))</f>
        <v/>
      </c>
      <c r="C11" s="12">
        <f>IF(COUNT(M15:M34)=0,"",COUNT(M15:M34))</f>
        <v/>
      </c>
      <c r="D11" s="41">
        <f>IF(C11=0,"",B11/C11)</f>
        <v/>
      </c>
      <c r="E11" s="12">
        <f>IF(COUNT(T15:T34)=0,"",SUM(T15:T34))</f>
        <v/>
      </c>
      <c r="F11" s="12">
        <f>IF(COUNT(T15:T34)=0,"",COUNT(T15:T34))</f>
        <v/>
      </c>
      <c r="G11" s="41">
        <f>IF(F11=0,"",E11/F11)</f>
        <v/>
      </c>
      <c r="H11" s="12">
        <f>IF(COUNTIF($AA$15:$AA$34,"通过")&lt;20,"金标准未完成",IF(COUNTIF($AB$15:$AB$34,"通过")&lt;20,"同批校验未通过",IF(OR(C11="",F11=""),"待填写",IF(OR(C11&lt;20,F11&lt;20),"样本不足",IF(AND(D11&gt;=0,G11&gt;=0),"完成","检查弱项")))))</f>
        <v/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>
      <c r="A12" s="12" t="inlineStr">
        <is>
          <t>多模态完整记录提升</t>
        </is>
      </c>
      <c r="B12" s="12" t="n"/>
      <c r="C12" s="12" t="n"/>
      <c r="D12" s="41">
        <f>IF(OR(D11="",G11=""),"",G11-D11)</f>
        <v/>
      </c>
      <c r="E12" s="12" t="n"/>
      <c r="F12" s="12" t="n"/>
      <c r="G12" s="12" t="n"/>
      <c r="H12" s="12">
        <f>IF(OR(D11="",G11=""),"待填写",IF(G11-D11&gt;=0.05,"达到5个百分点门槛","未达到 不启用"))</f>
        <v/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>
      <c r="A14" s="9" t="inlineStr">
        <is>
          <t>样本ID</t>
        </is>
      </c>
      <c r="B14" s="9" t="inlineStr">
        <is>
          <t>图像SHA-256</t>
        </is>
      </c>
      <c r="C14" s="9" t="inlineStr">
        <is>
          <t>金标准届别</t>
        </is>
      </c>
      <c r="D14" s="9" t="inlineStr">
        <is>
          <t>金标准学历</t>
        </is>
      </c>
      <c r="E14" s="9" t="inlineStr">
        <is>
          <t>金标准专业</t>
        </is>
      </c>
      <c r="F14" s="9" t="inlineStr">
        <is>
          <t>金标准城市</t>
        </is>
      </c>
      <c r="G14" s="9" t="inlineStr">
        <is>
          <t>金标准岗位</t>
        </is>
      </c>
      <c r="H14" s="9" t="inlineStr">
        <is>
          <t>OCR届别</t>
        </is>
      </c>
      <c r="I14" s="9" t="inlineStr">
        <is>
          <t>OCR学历</t>
        </is>
      </c>
      <c r="J14" s="9" t="inlineStr">
        <is>
          <t>OCR专业</t>
        </is>
      </c>
      <c r="K14" s="9" t="inlineStr">
        <is>
          <t>OCR城市</t>
        </is>
      </c>
      <c r="L14" s="9" t="inlineStr">
        <is>
          <t>OCR岗位</t>
        </is>
      </c>
      <c r="M14" s="9" t="inlineStr">
        <is>
          <t>OCR完整</t>
        </is>
      </c>
      <c r="N14" s="9" t="inlineStr">
        <is>
          <t>OCR秒</t>
        </is>
      </c>
      <c r="O14" s="9" t="inlineStr">
        <is>
          <t>多模态届别</t>
        </is>
      </c>
      <c r="P14" s="9" t="inlineStr">
        <is>
          <t>多模态学历</t>
        </is>
      </c>
      <c r="Q14" s="9" t="inlineStr">
        <is>
          <t>多模态专业</t>
        </is>
      </c>
      <c r="R14" s="9" t="inlineStr">
        <is>
          <t>多模态城市</t>
        </is>
      </c>
      <c r="S14" s="9" t="inlineStr">
        <is>
          <t>多模态岗位</t>
        </is>
      </c>
      <c r="T14" s="9" t="inlineStr">
        <is>
          <t>多模态完整</t>
        </is>
      </c>
      <c r="U14" s="9" t="inlineStr">
        <is>
          <t>多模态秒</t>
        </is>
      </c>
      <c r="V14" s="9" t="inlineStr">
        <is>
          <t>单张成本</t>
        </is>
      </c>
      <c r="W14" s="9" t="inlineStr">
        <is>
          <t>备注</t>
        </is>
      </c>
      <c r="X14" s="9" t="inlineStr">
        <is>
          <t>标注人</t>
        </is>
      </c>
      <c r="Y14" s="9" t="inlineStr">
        <is>
          <t>OCR样本ID</t>
        </is>
      </c>
      <c r="Z14" s="9" t="inlineStr">
        <is>
          <t>多模态样本ID</t>
        </is>
      </c>
      <c r="AA14" s="9" t="inlineStr">
        <is>
          <t>金标准校验</t>
        </is>
      </c>
      <c r="AB14" s="9" t="inlineStr">
        <is>
          <t>同批校验</t>
        </is>
      </c>
      <c r="AC14" s="44" t="inlineStr">
        <is>
          <t>金标准年级</t>
        </is>
      </c>
      <c r="AD14" s="44" t="inlineStr">
        <is>
          <t>金标准学院</t>
        </is>
      </c>
      <c r="AE14" s="44" t="inlineStr">
        <is>
          <t>OCR年级</t>
        </is>
      </c>
      <c r="AF14" s="44" t="inlineStr">
        <is>
          <t>OCR学院</t>
        </is>
      </c>
      <c r="AG14" s="44" t="inlineStr">
        <is>
          <t>多模态年级</t>
        </is>
      </c>
      <c r="AH14" s="44" t="inlineStr">
        <is>
          <t>多模态学院</t>
        </is>
      </c>
    </row>
    <row r="15">
      <c r="A15" s="12" t="inlineStr">
        <is>
          <t>P01</t>
        </is>
      </c>
      <c r="B15" s="16" t="inlineStr">
        <is>
          <t>c33d4c220c92eb093ccc72a1a5c6db7a024d5c51b12123e0c708c27a1551a0f9</t>
        </is>
      </c>
      <c r="C15" s="16" t="inlineStr">
        <is>
          <t>2024届</t>
        </is>
      </c>
      <c r="D15" s="16" t="inlineStr">
        <is>
          <t>硕士</t>
        </is>
      </c>
      <c r="E15" s="16" t="inlineStr">
        <is>
          <t>应用统计</t>
        </is>
      </c>
      <c r="F15" s="16" t="inlineStr">
        <is>
          <t>滨州</t>
        </is>
      </c>
      <c r="G15" s="16" t="inlineStr">
        <is>
          <t>阳信县发改局</t>
        </is>
      </c>
      <c r="H15" s="16" t="n">
        <v>1</v>
      </c>
      <c r="I15" s="16" t="n">
        <v>1</v>
      </c>
      <c r="J15" s="16" t="n">
        <v>0</v>
      </c>
      <c r="K15" s="16" t="n">
        <v>1</v>
      </c>
      <c r="L15" s="16" t="n">
        <v>1</v>
      </c>
      <c r="M15" s="16" t="n">
        <v>0</v>
      </c>
      <c r="N15" s="42" t="n">
        <v>66.68000000000001</v>
      </c>
      <c r="O15" s="16" t="n">
        <v>1</v>
      </c>
      <c r="P15" s="16" t="n">
        <v>1</v>
      </c>
      <c r="Q15" s="16" t="n">
        <v>0</v>
      </c>
      <c r="R15" s="16" t="n">
        <v>1</v>
      </c>
      <c r="S15" s="16" t="n">
        <v>1</v>
      </c>
      <c r="T15" s="16" t="n">
        <v>0</v>
      </c>
      <c r="U15" s="42" t="n">
        <v>8.18</v>
      </c>
      <c r="V15" s="42" t="n">
        <v>0</v>
      </c>
      <c r="W15" s="16" t="inlineStr">
        <is>
          <t>一帖多人，本行取第1人，逐人判定见评测报告</t>
        </is>
      </c>
      <c r="X15" s="30" t="inlineStr">
        <is>
          <t>annotator-B</t>
        </is>
      </c>
      <c r="Y15" s="30" t="inlineStr">
        <is>
          <t>P01</t>
        </is>
      </c>
      <c r="Z15" s="30" t="inlineStr">
        <is>
          <t>P01</t>
        </is>
      </c>
      <c r="AA15" s="32">
        <f>IF(COUNTA(B15:G15,X15)=0,"待填写",IF(OR(B15="",C15="",D15="",E15="",F15="",G15="",X15=""),"缺金标准",IF(NOT(AND(LEN(B15)=64,NOT(ISERROR(DECIMAL(MID(B15,1,8),16))),NOT(ISERROR(DECIMAL(MID(B15,9,8),16))),NOT(ISERROR(DECIMAL(MID(B15,17,8),16))),NOT(ISERROR(DECIMAL(MID(B15,25,8),16))),NOT(ISERROR(DECIMAL(MID(B15,33,8),16))),NOT(ISERROR(DECIMAL(MID(B15,41,8),16))),NOT(ISERROR(DECIMAL(MID(B15,49,8),16))),NOT(ISERROR(DECIMAL(MID(B15,57,8),16))))),"SHA-256格式错误",IF(RIGHT(C15,1)&lt;&gt;"届","届别格式错误",IF(NOT(OR(D15="本科",D15="硕士",D15="硕士研究生",D15="博士",D15="博士研究生",D15="其他")),"学历枚举错误","通过")))))</f>
        <v/>
      </c>
      <c r="AB15" s="32">
        <f>IF(AA15&lt;&gt;"通过","待填写",IF(OR(Y15="",Z15=""),"缺路线ID",IF(AND(Y15=A15,Z15=A15),"通过","样本ID不一致")))</f>
        <v/>
      </c>
      <c r="AC15" t="inlineStr">
        <is>
          <t>2022</t>
        </is>
      </c>
      <c r="AD15" t="inlineStr">
        <is>
          <t>理学院</t>
        </is>
      </c>
      <c r="AE15" t="n">
        <v>1</v>
      </c>
      <c r="AF15" t="n">
        <v>1</v>
      </c>
      <c r="AG15" t="n">
        <v>0</v>
      </c>
      <c r="AH15" t="n">
        <v>1</v>
      </c>
    </row>
    <row r="16">
      <c r="A16" s="12" t="inlineStr">
        <is>
          <t>P02</t>
        </is>
      </c>
      <c r="B16" s="16" t="inlineStr">
        <is>
          <t>e24e643770f2a297edd3c6e045d25389f7db7bbceeaa663324834136e47b2e6b</t>
        </is>
      </c>
      <c r="C16" s="16" t="inlineStr">
        <is>
          <t>2024届</t>
        </is>
      </c>
      <c r="D16" s="16" t="inlineStr">
        <is>
          <t>本科</t>
        </is>
      </c>
      <c r="E16" s="16" t="inlineStr">
        <is>
          <t>信息与计算科学</t>
        </is>
      </c>
      <c r="F16" s="16" t="inlineStr">
        <is>
          <t>null</t>
        </is>
      </c>
      <c r="G16" s="16" t="inlineStr">
        <is>
          <t>青海省人力资源和社会保障厅</t>
        </is>
      </c>
      <c r="H16" s="16" t="n">
        <v>1</v>
      </c>
      <c r="I16" s="16" t="n">
        <v>1</v>
      </c>
      <c r="J16" s="16" t="n">
        <v>1</v>
      </c>
      <c r="K16" s="16" t="n"/>
      <c r="L16" s="16" t="n">
        <v>0</v>
      </c>
      <c r="M16" s="16" t="n"/>
      <c r="N16" s="42" t="n">
        <v>64.89</v>
      </c>
      <c r="O16" s="16" t="n">
        <v>1</v>
      </c>
      <c r="P16" s="16" t="n">
        <v>1</v>
      </c>
      <c r="Q16" s="16" t="n">
        <v>1</v>
      </c>
      <c r="R16" s="16" t="n"/>
      <c r="S16" s="16" t="n">
        <v>1</v>
      </c>
      <c r="T16" s="16" t="n"/>
      <c r="U16" s="42" t="n">
        <v>8.470000000000001</v>
      </c>
      <c r="V16" s="42" t="n">
        <v>0</v>
      </c>
      <c r="W16" s="16" t="inlineStr">
        <is>
          <t>一帖多人，本行取第1人，逐人判定见评测报告</t>
        </is>
      </c>
      <c r="X16" s="30" t="inlineStr">
        <is>
          <t>annotator-B</t>
        </is>
      </c>
      <c r="Y16" s="30" t="inlineStr">
        <is>
          <t>P02</t>
        </is>
      </c>
      <c r="Z16" s="30" t="inlineStr">
        <is>
          <t>P02</t>
        </is>
      </c>
      <c r="AA16" s="32">
        <f>IF(COUNTA(B16:G16,X16)=0,"待填写",IF(OR(B16="",C16="",D16="",E16="",F16="",G16="",X16=""),"缺金标准",IF(NOT(AND(LEN(B16)=64,NOT(ISERROR(DECIMAL(MID(B16,1,8),16))),NOT(ISERROR(DECIMAL(MID(B16,9,8),16))),NOT(ISERROR(DECIMAL(MID(B16,17,8),16))),NOT(ISERROR(DECIMAL(MID(B16,25,8),16))),NOT(ISERROR(DECIMAL(MID(B16,33,8),16))),NOT(ISERROR(DECIMAL(MID(B16,41,8),16))),NOT(ISERROR(DECIMAL(MID(B16,49,8),16))),NOT(ISERROR(DECIMAL(MID(B16,57,8),16))))),"SHA-256格式错误",IF(RIGHT(C16,1)&lt;&gt;"届","届别格式错误",IF(NOT(OR(D16="本科",D16="硕士",D16="硕士研究生",D16="博士",D16="博士研究生",D16="其他")),"学历枚举错误","通过")))))</f>
        <v/>
      </c>
      <c r="AB16" s="32">
        <f>IF(AA16&lt;&gt;"通过","待填写",IF(OR(Y16="",Z16=""),"缺路线ID",IF(AND(Y16=A16,Z16=A16),"通过","样本ID不一致")))</f>
        <v/>
      </c>
      <c r="AC16" t="inlineStr">
        <is>
          <t>2020</t>
        </is>
      </c>
      <c r="AD16" t="inlineStr">
        <is>
          <t>理学院</t>
        </is>
      </c>
      <c r="AE16" t="n">
        <v>1</v>
      </c>
      <c r="AF16" t="n">
        <v>0</v>
      </c>
      <c r="AG16" t="n">
        <v>0</v>
      </c>
      <c r="AH16" t="n">
        <v>1</v>
      </c>
    </row>
    <row r="17">
      <c r="A17" s="12" t="inlineStr">
        <is>
          <t>P03</t>
        </is>
      </c>
      <c r="B17" s="16" t="inlineStr">
        <is>
          <t>cd9554f43f9653f691a580b5b95820a207d221539542992f0247e65085e46da5</t>
        </is>
      </c>
      <c r="C17" s="16" t="inlineStr">
        <is>
          <t>2024届</t>
        </is>
      </c>
      <c r="D17" s="16" t="inlineStr">
        <is>
          <t>本科</t>
        </is>
      </c>
      <c r="E17" s="16" t="inlineStr">
        <is>
          <t>国际经济与贸易</t>
        </is>
      </c>
      <c r="F17" s="16" t="inlineStr">
        <is>
          <t>昆明</t>
        </is>
      </c>
      <c r="G17" s="16" t="inlineStr">
        <is>
          <t>昆明市委组织部</t>
        </is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42" t="n">
        <v>63.36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42" t="n">
        <v>9.73</v>
      </c>
      <c r="V17" s="42" t="n">
        <v>0</v>
      </c>
      <c r="W17" s="16" t="inlineStr">
        <is>
          <t>一帖多人，本行取第1人，逐人判定见评测报告</t>
        </is>
      </c>
      <c r="X17" s="30" t="inlineStr">
        <is>
          <t>annotator-B</t>
        </is>
      </c>
      <c r="Y17" s="30" t="inlineStr">
        <is>
          <t>P03</t>
        </is>
      </c>
      <c r="Z17" s="30" t="inlineStr">
        <is>
          <t>P03</t>
        </is>
      </c>
      <c r="AA17" s="32">
        <f>IF(COUNTA(B17:G17,X17)=0,"待填写",IF(OR(B17="",C17="",D17="",E17="",F17="",G17="",X17=""),"缺金标准",IF(NOT(AND(LEN(B17)=64,NOT(ISERROR(DECIMAL(MID(B17,1,8),16))),NOT(ISERROR(DECIMAL(MID(B17,9,8),16))),NOT(ISERROR(DECIMAL(MID(B17,17,8),16))),NOT(ISERROR(DECIMAL(MID(B17,25,8),16))),NOT(ISERROR(DECIMAL(MID(B17,33,8),16))),NOT(ISERROR(DECIMAL(MID(B17,41,8),16))),NOT(ISERROR(DECIMAL(MID(B17,49,8),16))),NOT(ISERROR(DECIMAL(MID(B17,57,8),16))))),"SHA-256格式错误",IF(RIGHT(C17,1)&lt;&gt;"届","届别格式错误",IF(NOT(OR(D17="本科",D17="硕士",D17="硕士研究生",D17="博士",D17="博士研究生",D17="其他")),"学历枚举错误","通过")))))</f>
        <v/>
      </c>
      <c r="AB17" s="32">
        <f>IF(AA17&lt;&gt;"通过","待填写",IF(OR(Y17="",Z17=""),"缺路线ID",IF(AND(Y17=A17,Z17=A17),"通过","样本ID不一致")))</f>
        <v/>
      </c>
      <c r="AC17" t="inlineStr">
        <is>
          <t>2020</t>
        </is>
      </c>
      <c r="AD17" t="inlineStr">
        <is>
          <t>经济学院</t>
        </is>
      </c>
      <c r="AE17" t="n">
        <v>1</v>
      </c>
      <c r="AF17" t="n">
        <v>0</v>
      </c>
      <c r="AG17" t="n">
        <v>0</v>
      </c>
      <c r="AH17" t="n">
        <v>1</v>
      </c>
    </row>
    <row r="18">
      <c r="A18" s="12" t="inlineStr">
        <is>
          <t>P04</t>
        </is>
      </c>
      <c r="B18" s="16" t="inlineStr">
        <is>
          <t>677ce946aa3b2a3ab408f468814eec39ae0695c83407e055fd30c0f414903a22</t>
        </is>
      </c>
      <c r="C18" s="16" t="inlineStr">
        <is>
          <t>2024届</t>
        </is>
      </c>
      <c r="D18" s="16" t="inlineStr">
        <is>
          <t>本科</t>
        </is>
      </c>
      <c r="E18" s="16" t="inlineStr">
        <is>
          <t>中国与周边国家关系史实验班</t>
        </is>
      </c>
      <c r="F18" s="16" t="inlineStr">
        <is>
          <t>来宾</t>
        </is>
      </c>
      <c r="G18" s="16" t="inlineStr">
        <is>
          <t>合山市委组织部</t>
        </is>
      </c>
      <c r="H18" s="16" t="n">
        <v>1</v>
      </c>
      <c r="I18" s="16" t="n">
        <v>1</v>
      </c>
      <c r="J18" s="16" t="n">
        <v>0</v>
      </c>
      <c r="K18" s="16" t="n">
        <v>0</v>
      </c>
      <c r="L18" s="16" t="n">
        <v>1</v>
      </c>
      <c r="M18" s="16" t="n">
        <v>0</v>
      </c>
      <c r="N18" s="42" t="n">
        <v>471.68</v>
      </c>
      <c r="O18" s="16" t="n">
        <v>1</v>
      </c>
      <c r="P18" s="16" t="n">
        <v>1</v>
      </c>
      <c r="Q18" s="16" t="n">
        <v>0</v>
      </c>
      <c r="R18" s="16" t="n">
        <v>0</v>
      </c>
      <c r="S18" s="16" t="n">
        <v>1</v>
      </c>
      <c r="T18" s="16" t="n">
        <v>0</v>
      </c>
      <c r="U18" s="42" t="n">
        <v>8.49</v>
      </c>
      <c r="V18" s="42" t="n">
        <v>0</v>
      </c>
      <c r="W18" s="16" t="inlineStr">
        <is>
          <t>一帖多人，本行取第1人，逐人判定见评测报告</t>
        </is>
      </c>
      <c r="X18" s="30" t="inlineStr">
        <is>
          <t>annotator-B</t>
        </is>
      </c>
      <c r="Y18" s="30" t="inlineStr">
        <is>
          <t>P04</t>
        </is>
      </c>
      <c r="Z18" s="30" t="inlineStr">
        <is>
          <t>P04</t>
        </is>
      </c>
      <c r="AA18" s="32">
        <f>IF(COUNTA(B18:G18,X18)=0,"待填写",IF(OR(B18="",C18="",D18="",E18="",F18="",G18="",X18=""),"缺金标准",IF(NOT(AND(LEN(B18)=64,NOT(ISERROR(DECIMAL(MID(B18,1,8),16))),NOT(ISERROR(DECIMAL(MID(B18,9,8),16))),NOT(ISERROR(DECIMAL(MID(B18,17,8),16))),NOT(ISERROR(DECIMAL(MID(B18,25,8),16))),NOT(ISERROR(DECIMAL(MID(B18,33,8),16))),NOT(ISERROR(DECIMAL(MID(B18,41,8),16))),NOT(ISERROR(DECIMAL(MID(B18,49,8),16))),NOT(ISERROR(DECIMAL(MID(B18,57,8),16))))),"SHA-256格式错误",IF(RIGHT(C18,1)&lt;&gt;"届","届别格式错误",IF(NOT(OR(D18="本科",D18="硕士",D18="硕士研究生",D18="博士",D18="博士研究生",D18="其他")),"学历枚举错误","通过")))))</f>
        <v/>
      </c>
      <c r="AB18" s="32">
        <f>IF(AA18&lt;&gt;"通过","待填写",IF(OR(Y18="",Z18=""),"缺路线ID",IF(AND(Y18=A18,Z18=A18),"通过","样本ID不一致")))</f>
        <v/>
      </c>
      <c r="AC18" t="inlineStr">
        <is>
          <t>2020</t>
        </is>
      </c>
      <c r="AD18" t="inlineStr">
        <is>
          <t>历史文化学院</t>
        </is>
      </c>
      <c r="AE18" t="n">
        <v>1</v>
      </c>
      <c r="AF18" t="n">
        <v>0</v>
      </c>
      <c r="AG18" t="n">
        <v>1</v>
      </c>
      <c r="AH18" t="n">
        <v>1</v>
      </c>
    </row>
    <row r="19">
      <c r="A19" s="12" t="inlineStr">
        <is>
          <t>P05</t>
        </is>
      </c>
      <c r="B19" s="16" t="inlineStr">
        <is>
          <t>8743ed07a24277173501bf5774261eab9e535f5925b02898ba4de04bc68161cb</t>
        </is>
      </c>
      <c r="C19" s="16" t="inlineStr">
        <is>
          <t>2024届</t>
        </is>
      </c>
      <c r="D19" s="16" t="inlineStr">
        <is>
          <t>硕士研究生</t>
        </is>
      </c>
      <c r="E19" s="16" t="inlineStr">
        <is>
          <t>学科教学（英语）</t>
        </is>
      </c>
      <c r="F19" s="16" t="inlineStr">
        <is>
          <t>天津</t>
        </is>
      </c>
      <c r="G19" s="16" t="inlineStr">
        <is>
          <t>河北区王串场街道公务员</t>
        </is>
      </c>
      <c r="H19" s="16" t="n">
        <v>1</v>
      </c>
      <c r="I19" s="16" t="n">
        <v>1</v>
      </c>
      <c r="J19" s="16" t="n">
        <v>0</v>
      </c>
      <c r="K19" s="16" t="n">
        <v>1</v>
      </c>
      <c r="L19" s="16" t="n">
        <v>1</v>
      </c>
      <c r="M19" s="16" t="n">
        <v>0</v>
      </c>
      <c r="N19" s="42" t="n">
        <v>84.91</v>
      </c>
      <c r="O19" s="16" t="n">
        <v>1</v>
      </c>
      <c r="P19" s="16" t="n">
        <v>1</v>
      </c>
      <c r="Q19" s="16" t="n">
        <v>0</v>
      </c>
      <c r="R19" s="16" t="n">
        <v>1</v>
      </c>
      <c r="S19" s="16" t="n">
        <v>1</v>
      </c>
      <c r="T19" s="16" t="n">
        <v>0</v>
      </c>
      <c r="U19" s="42" t="n">
        <v>11.67</v>
      </c>
      <c r="V19" s="42" t="n">
        <v>0</v>
      </c>
      <c r="W19" s="16" t="inlineStr">
        <is>
          <t>一帖多人，本行取第1人，逐人判定见评测报告</t>
        </is>
      </c>
      <c r="X19" s="30" t="inlineStr">
        <is>
          <t>annotator-B</t>
        </is>
      </c>
      <c r="Y19" s="30" t="inlineStr">
        <is>
          <t>P05</t>
        </is>
      </c>
      <c r="Z19" s="30" t="inlineStr">
        <is>
          <t>P05</t>
        </is>
      </c>
      <c r="AA19" s="32">
        <f>IF(COUNTA(B19:G19,X19)=0,"待填写",IF(OR(B19="",C19="",D19="",E19="",F19="",G19="",X19=""),"缺金标准",IF(NOT(AND(LEN(B19)=64,NOT(ISERROR(DECIMAL(MID(B19,1,8),16))),NOT(ISERROR(DECIMAL(MID(B19,9,8),16))),NOT(ISERROR(DECIMAL(MID(B19,17,8),16))),NOT(ISERROR(DECIMAL(MID(B19,25,8),16))),NOT(ISERROR(DECIMAL(MID(B19,33,8),16))),NOT(ISERROR(DECIMAL(MID(B19,41,8),16))),NOT(ISERROR(DECIMAL(MID(B19,49,8),16))),NOT(ISERROR(DECIMAL(MID(B19,57,8),16))))),"SHA-256格式错误",IF(RIGHT(C19,1)&lt;&gt;"届","届别格式错误",IF(NOT(OR(D19="本科",D19="硕士",D19="硕士研究生",D19="博士",D19="博士研究生",D19="其他")),"学历枚举错误","通过")))))</f>
        <v/>
      </c>
      <c r="AB19" s="32">
        <f>IF(AA19&lt;&gt;"通过","待填写",IF(OR(Y19="",Z19=""),"缺路线ID",IF(AND(Y19=A19,Z19=A19),"通过","样本ID不一致")))</f>
        <v/>
      </c>
      <c r="AC19" t="inlineStr">
        <is>
          <t>2022</t>
        </is>
      </c>
      <c r="AD19" t="inlineStr">
        <is>
          <t>外国语学院</t>
        </is>
      </c>
      <c r="AE19" t="n">
        <v>1</v>
      </c>
      <c r="AF19" t="n">
        <v>1</v>
      </c>
      <c r="AG19" t="n">
        <v>0</v>
      </c>
      <c r="AH19" t="n">
        <v>1</v>
      </c>
    </row>
    <row r="20">
      <c r="A20" s="12" t="inlineStr">
        <is>
          <t>P06</t>
        </is>
      </c>
      <c r="B20" s="16" t="inlineStr">
        <is>
          <t>dc1fcb653276ab47fc8a280196607085d1500ca6fa3951b0ec2d2fac43ce34ac</t>
        </is>
      </c>
      <c r="C20" s="16" t="inlineStr">
        <is>
          <t>2024届</t>
        </is>
      </c>
      <c r="D20" s="16" t="inlineStr">
        <is>
          <t>硕士研究生</t>
        </is>
      </c>
      <c r="E20" s="16" t="inlineStr">
        <is>
          <t>法律（法学）</t>
        </is>
      </c>
      <c r="F20" s="16" t="inlineStr">
        <is>
          <t>郑州</t>
        </is>
      </c>
      <c r="G20" s="16" t="inlineStr">
        <is>
          <t>郑州市司法局</t>
        </is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42" t="n">
        <v>85.65000000000001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42" t="n">
        <v>9.619999999999999</v>
      </c>
      <c r="V20" s="42" t="n">
        <v>0</v>
      </c>
      <c r="W20" s="16" t="inlineStr">
        <is>
          <t>一帖多人，本行取第1人，逐人判定见评测报告</t>
        </is>
      </c>
      <c r="X20" s="30" t="inlineStr">
        <is>
          <t>annotator-B</t>
        </is>
      </c>
      <c r="Y20" s="30" t="inlineStr">
        <is>
          <t>P06</t>
        </is>
      </c>
      <c r="Z20" s="30" t="inlineStr">
        <is>
          <t>P06</t>
        </is>
      </c>
      <c r="AA20" s="32">
        <f>IF(COUNTA(B20:G20,X20)=0,"待填写",IF(OR(B20="",C20="",D20="",E20="",F20="",G20="",X20=""),"缺金标准",IF(NOT(AND(LEN(B20)=64,NOT(ISERROR(DECIMAL(MID(B20,1,8),16))),NOT(ISERROR(DECIMAL(MID(B20,9,8),16))),NOT(ISERROR(DECIMAL(MID(B20,17,8),16))),NOT(ISERROR(DECIMAL(MID(B20,25,8),16))),NOT(ISERROR(DECIMAL(MID(B20,33,8),16))),NOT(ISERROR(DECIMAL(MID(B20,41,8),16))),NOT(ISERROR(DECIMAL(MID(B20,49,8),16))),NOT(ISERROR(DECIMAL(MID(B20,57,8),16))))),"SHA-256格式错误",IF(RIGHT(C20,1)&lt;&gt;"届","届别格式错误",IF(NOT(OR(D20="本科",D20="硕士",D20="硕士研究生",D20="博士",D20="博士研究生",D20="其他")),"学历枚举错误","通过")))))</f>
        <v/>
      </c>
      <c r="AB20" s="32">
        <f>IF(AA20&lt;&gt;"通过","待填写",IF(OR(Y20="",Z20=""),"缺路线ID",IF(AND(Y20=A20,Z20=A20),"通过","样本ID不一致")))</f>
        <v/>
      </c>
      <c r="AC20" t="inlineStr">
        <is>
          <t>2022</t>
        </is>
      </c>
      <c r="AD20" t="inlineStr">
        <is>
          <t>法学院</t>
        </is>
      </c>
      <c r="AE20" t="n">
        <v>1</v>
      </c>
      <c r="AF20" t="n">
        <v>1</v>
      </c>
      <c r="AG20" t="n">
        <v>0</v>
      </c>
      <c r="AH20" t="n">
        <v>1</v>
      </c>
    </row>
    <row r="21">
      <c r="A21" s="12" t="inlineStr">
        <is>
          <t>P07</t>
        </is>
      </c>
      <c r="B21" s="16" t="inlineStr">
        <is>
          <t>1e74b1df36d2626c5664a478f9b0d59dcea8530be6b91d6983cd0104611ce1fb</t>
        </is>
      </c>
      <c r="C21" s="16" t="inlineStr">
        <is>
          <t>2024届</t>
        </is>
      </c>
      <c r="D21" s="16" t="inlineStr">
        <is>
          <t>本科</t>
        </is>
      </c>
      <c r="E21" s="16" t="inlineStr">
        <is>
          <t>文物与博物馆学</t>
        </is>
      </c>
      <c r="F21" s="16" t="inlineStr">
        <is>
          <t>石嘴山</t>
        </is>
      </c>
      <c r="G21" s="16" t="inlineStr">
        <is>
          <t>惠农区红果子镇人民政府</t>
        </is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42" t="n">
        <v>62.23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42" t="n">
        <v>7.57</v>
      </c>
      <c r="V21" s="42" t="n">
        <v>0</v>
      </c>
      <c r="W21" s="16" t="inlineStr">
        <is>
          <t>一帖多人，本行取第1人，逐人判定见评测报告</t>
        </is>
      </c>
      <c r="X21" s="30" t="inlineStr">
        <is>
          <t>annotator-B</t>
        </is>
      </c>
      <c r="Y21" s="30" t="inlineStr">
        <is>
          <t>P07</t>
        </is>
      </c>
      <c r="Z21" s="30" t="inlineStr">
        <is>
          <t>P07</t>
        </is>
      </c>
      <c r="AA21" s="32">
        <f>IF(COUNTA(B21:G21,X21)=0,"待填写",IF(OR(B21="",C21="",D21="",E21="",F21="",G21="",X21=""),"缺金标准",IF(NOT(AND(LEN(B21)=64,NOT(ISERROR(DECIMAL(MID(B21,1,8),16))),NOT(ISERROR(DECIMAL(MID(B21,9,8),16))),NOT(ISERROR(DECIMAL(MID(B21,17,8),16))),NOT(ISERROR(DECIMAL(MID(B21,25,8),16))),NOT(ISERROR(DECIMAL(MID(B21,33,8),16))),NOT(ISERROR(DECIMAL(MID(B21,41,8),16))),NOT(ISERROR(DECIMAL(MID(B21,49,8),16))),NOT(ISERROR(DECIMAL(MID(B21,57,8),16))))),"SHA-256格式错误",IF(RIGHT(C21,1)&lt;&gt;"届","届别格式错误",IF(NOT(OR(D21="本科",D21="硕士",D21="硕士研究生",D21="博士",D21="博士研究生",D21="其他")),"学历枚举错误","通过")))))</f>
        <v/>
      </c>
      <c r="AB21" s="32">
        <f>IF(AA21&lt;&gt;"通过","待填写",IF(OR(Y21="",Z21=""),"缺路线ID",IF(AND(Y21=A21,Z21=A21),"通过","样本ID不一致")))</f>
        <v/>
      </c>
      <c r="AC21" t="inlineStr">
        <is>
          <t>2020</t>
        </is>
      </c>
      <c r="AD21" t="inlineStr">
        <is>
          <t>民族学与社会学学院</t>
        </is>
      </c>
      <c r="AE21" t="n">
        <v>1</v>
      </c>
      <c r="AF21" t="n">
        <v>1</v>
      </c>
      <c r="AG21" t="n">
        <v>0</v>
      </c>
      <c r="AH21" t="n">
        <v>1</v>
      </c>
    </row>
    <row r="22">
      <c r="A22" s="12" t="inlineStr">
        <is>
          <t>P08</t>
        </is>
      </c>
      <c r="B22" s="16" t="inlineStr">
        <is>
          <t>192b05da923c43ad71276424ed48e778228a8d87f78a7ec29801b738c10526e8</t>
        </is>
      </c>
      <c r="C22" s="16" t="inlineStr">
        <is>
          <t>2024届</t>
        </is>
      </c>
      <c r="D22" s="16" t="inlineStr">
        <is>
          <t>硕士研究生</t>
        </is>
      </c>
      <c r="E22" s="16" t="inlineStr">
        <is>
          <t>文物与博物馆学</t>
        </is>
      </c>
      <c r="F22" s="16" t="inlineStr">
        <is>
          <t>株洲</t>
        </is>
      </c>
      <c r="G22" s="16" t="inlineStr">
        <is>
          <t>炎陵县鹿原镇三口村党总支书记助理</t>
        </is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0</v>
      </c>
      <c r="M22" s="16" t="n">
        <v>0</v>
      </c>
      <c r="N22" s="42" t="n">
        <v>86.56999999999999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0</v>
      </c>
      <c r="T22" s="16" t="n">
        <v>0</v>
      </c>
      <c r="U22" s="42" t="n">
        <v>11.35</v>
      </c>
      <c r="V22" s="42" t="n">
        <v>0</v>
      </c>
      <c r="W22" s="16" t="inlineStr">
        <is>
          <t>一帖多人，本行取第1人，逐人判定见评测报告</t>
        </is>
      </c>
      <c r="X22" s="30" t="inlineStr">
        <is>
          <t>annotator-B</t>
        </is>
      </c>
      <c r="Y22" s="30" t="inlineStr">
        <is>
          <t>P08</t>
        </is>
      </c>
      <c r="Z22" s="30" t="inlineStr">
        <is>
          <t>P08</t>
        </is>
      </c>
      <c r="AA22" s="32">
        <f>IF(COUNTA(B22:G22,X22)=0,"待填写",IF(OR(B22="",C22="",D22="",E22="",F22="",G22="",X22=""),"缺金标准",IF(NOT(AND(LEN(B22)=64,NOT(ISERROR(DECIMAL(MID(B22,1,8),16))),NOT(ISERROR(DECIMAL(MID(B22,9,8),16))),NOT(ISERROR(DECIMAL(MID(B22,17,8),16))),NOT(ISERROR(DECIMAL(MID(B22,25,8),16))),NOT(ISERROR(DECIMAL(MID(B22,33,8),16))),NOT(ISERROR(DECIMAL(MID(B22,41,8),16))),NOT(ISERROR(DECIMAL(MID(B22,49,8),16))),NOT(ISERROR(DECIMAL(MID(B22,57,8),16))))),"SHA-256格式错误",IF(RIGHT(C22,1)&lt;&gt;"届","届别格式错误",IF(NOT(OR(D22="本科",D22="硕士",D22="硕士研究生",D22="博士",D22="博士研究生",D22="其他")),"学历枚举错误","通过")))))</f>
        <v/>
      </c>
      <c r="AB22" s="32">
        <f>IF(AA22&lt;&gt;"通过","待填写",IF(OR(Y22="",Z22=""),"缺路线ID",IF(AND(Y22=A22,Z22=A22),"通过","样本ID不一致")))</f>
        <v/>
      </c>
      <c r="AC22" t="inlineStr">
        <is>
          <t>2021</t>
        </is>
      </c>
      <c r="AD22" t="inlineStr">
        <is>
          <t>民族学与社会学学院</t>
        </is>
      </c>
      <c r="AE22" t="n">
        <v>1</v>
      </c>
      <c r="AF22" t="n">
        <v>0</v>
      </c>
      <c r="AG22" t="n">
        <v>1</v>
      </c>
      <c r="AH22" t="n">
        <v>1</v>
      </c>
    </row>
    <row r="23">
      <c r="A23" s="12" t="inlineStr">
        <is>
          <t>P09</t>
        </is>
      </c>
      <c r="B23" s="16" t="inlineStr">
        <is>
          <t>ef1e062fa12da9d4d22e861dc38bc398da595bd42bb330ce65927378e378cc85</t>
        </is>
      </c>
      <c r="C23" s="16" t="inlineStr">
        <is>
          <t>2024届</t>
        </is>
      </c>
      <c r="D23" s="16" t="inlineStr">
        <is>
          <t>本科</t>
        </is>
      </c>
      <c r="E23" s="16" t="inlineStr">
        <is>
          <t>汉语言文学</t>
        </is>
      </c>
      <c r="F23" s="16" t="inlineStr">
        <is>
          <t>晋江</t>
        </is>
      </c>
      <c r="G23" s="16" t="inlineStr">
        <is>
          <t>英林镇三欧村村主任助理</t>
        </is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0</v>
      </c>
      <c r="M23" s="16" t="n">
        <v>0</v>
      </c>
      <c r="N23" s="42" t="n">
        <v>88.53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0</v>
      </c>
      <c r="T23" s="16" t="n">
        <v>0</v>
      </c>
      <c r="U23" s="42" t="n">
        <v>11.58</v>
      </c>
      <c r="V23" s="42" t="n">
        <v>0</v>
      </c>
      <c r="W23" s="16" t="inlineStr">
        <is>
          <t>一帖多人，本行取第1人，逐人判定见评测报告</t>
        </is>
      </c>
      <c r="X23" s="30" t="inlineStr">
        <is>
          <t>annotator-B</t>
        </is>
      </c>
      <c r="Y23" s="30" t="inlineStr">
        <is>
          <t>P09</t>
        </is>
      </c>
      <c r="Z23" s="30" t="inlineStr">
        <is>
          <t>P09</t>
        </is>
      </c>
      <c r="AA23" s="32">
        <f>IF(COUNTA(B23:G23,X23)=0,"待填写",IF(OR(B23="",C23="",D23="",E23="",F23="",G23="",X23=""),"缺金标准",IF(NOT(AND(LEN(B23)=64,NOT(ISERROR(DECIMAL(MID(B23,1,8),16))),NOT(ISERROR(DECIMAL(MID(B23,9,8),16))),NOT(ISERROR(DECIMAL(MID(B23,17,8),16))),NOT(ISERROR(DECIMAL(MID(B23,25,8),16))),NOT(ISERROR(DECIMAL(MID(B23,33,8),16))),NOT(ISERROR(DECIMAL(MID(B23,41,8),16))),NOT(ISERROR(DECIMAL(MID(B23,49,8),16))),NOT(ISERROR(DECIMAL(MID(B23,57,8),16))))),"SHA-256格式错误",IF(RIGHT(C23,1)&lt;&gt;"届","届别格式错误",IF(NOT(OR(D23="本科",D23="硕士",D23="硕士研究生",D23="博士",D23="博士研究生",D23="其他")),"学历枚举错误","通过")))))</f>
        <v/>
      </c>
      <c r="AB23" s="32">
        <f>IF(AA23&lt;&gt;"通过","待填写",IF(OR(Y23="",Z23=""),"缺路线ID",IF(AND(Y23=A23,Z23=A23),"通过","样本ID不一致")))</f>
        <v/>
      </c>
      <c r="AC23" t="inlineStr">
        <is>
          <t>2020</t>
        </is>
      </c>
      <c r="AD23" t="inlineStr">
        <is>
          <t>文学院</t>
        </is>
      </c>
      <c r="AE23" t="n">
        <v>1</v>
      </c>
      <c r="AF23" t="n">
        <v>0</v>
      </c>
      <c r="AG23" t="n">
        <v>0</v>
      </c>
      <c r="AH23" t="n">
        <v>1</v>
      </c>
    </row>
    <row r="24">
      <c r="A24" s="12" t="inlineStr">
        <is>
          <t>P10</t>
        </is>
      </c>
      <c r="B24" s="16" t="inlineStr">
        <is>
          <t>e48401634cdcfac6c2f92e4033253eb6cb711c5824fd8d3dff35e6c2cbbfa79f</t>
        </is>
      </c>
      <c r="C24" s="16" t="inlineStr">
        <is>
          <t>2024届</t>
        </is>
      </c>
      <c r="D24" s="16" t="inlineStr">
        <is>
          <t>本科</t>
        </is>
      </c>
      <c r="E24" s="16" t="inlineStr">
        <is>
          <t>汉语言文学</t>
        </is>
      </c>
      <c r="F24" s="16" t="inlineStr">
        <is>
          <t>深圳</t>
        </is>
      </c>
      <c r="G24" s="16" t="inlineStr">
        <is>
          <t>宝安区新桥街道办</t>
        </is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42" t="n">
        <v>83.81</v>
      </c>
      <c r="O24" s="16" t="n">
        <v>1</v>
      </c>
      <c r="P24" s="16" t="n">
        <v>1</v>
      </c>
      <c r="Q24" s="16" t="n">
        <v>0</v>
      </c>
      <c r="R24" s="16" t="n">
        <v>1</v>
      </c>
      <c r="S24" s="16" t="n">
        <v>1</v>
      </c>
      <c r="T24" s="16" t="n">
        <v>0</v>
      </c>
      <c r="U24" s="42" t="n">
        <v>9.210000000000001</v>
      </c>
      <c r="V24" s="42" t="n">
        <v>0</v>
      </c>
      <c r="W24" s="16" t="inlineStr">
        <is>
          <t>一帖多人，本行取第1人，逐人判定见评测报告</t>
        </is>
      </c>
      <c r="X24" s="30" t="inlineStr">
        <is>
          <t>annotator-B</t>
        </is>
      </c>
      <c r="Y24" s="30" t="inlineStr">
        <is>
          <t>P10</t>
        </is>
      </c>
      <c r="Z24" s="30" t="inlineStr">
        <is>
          <t>P10</t>
        </is>
      </c>
      <c r="AA24" s="32">
        <f>IF(COUNTA(B24:G24,X24)=0,"待填写",IF(OR(B24="",C24="",D24="",E24="",F24="",G24="",X24=""),"缺金标准",IF(NOT(AND(LEN(B24)=64,NOT(ISERROR(DECIMAL(MID(B24,1,8),16))),NOT(ISERROR(DECIMAL(MID(B24,9,8),16))),NOT(ISERROR(DECIMAL(MID(B24,17,8),16))),NOT(ISERROR(DECIMAL(MID(B24,25,8),16))),NOT(ISERROR(DECIMAL(MID(B24,33,8),16))),NOT(ISERROR(DECIMAL(MID(B24,41,8),16))),NOT(ISERROR(DECIMAL(MID(B24,49,8),16))),NOT(ISERROR(DECIMAL(MID(B24,57,8),16))))),"SHA-256格式错误",IF(RIGHT(C24,1)&lt;&gt;"届","届别格式错误",IF(NOT(OR(D24="本科",D24="硕士",D24="硕士研究生",D24="博士",D24="博士研究生",D24="其他")),"学历枚举错误","通过")))))</f>
        <v/>
      </c>
      <c r="AB24" s="32">
        <f>IF(AA24&lt;&gt;"通过","待填写",IF(OR(Y24="",Z24=""),"缺路线ID",IF(AND(Y24=A24,Z24=A24),"通过","样本ID不一致")))</f>
        <v/>
      </c>
      <c r="AC24" t="inlineStr">
        <is>
          <t>2020</t>
        </is>
      </c>
      <c r="AD24" t="inlineStr">
        <is>
          <t>文学院</t>
        </is>
      </c>
      <c r="AE24" t="n">
        <v>1</v>
      </c>
      <c r="AF24" t="n">
        <v>1</v>
      </c>
      <c r="AG24" t="n">
        <v>1</v>
      </c>
      <c r="AH24" t="n">
        <v>1</v>
      </c>
    </row>
    <row r="25">
      <c r="A25" s="12" t="inlineStr">
        <is>
          <t>P11</t>
        </is>
      </c>
      <c r="B25" s="16" t="inlineStr">
        <is>
          <t>064246b707037fb65dfbf556ad0054926a86b5a1012a7a27c160400a7ae9d8c9</t>
        </is>
      </c>
      <c r="C25" s="16" t="inlineStr">
        <is>
          <t>2024届</t>
        </is>
      </c>
      <c r="D25" s="16" t="inlineStr">
        <is>
          <t>本科</t>
        </is>
      </c>
      <c r="E25" s="16" t="inlineStr">
        <is>
          <t>法学</t>
        </is>
      </c>
      <c r="F25" s="16" t="inlineStr">
        <is>
          <t>本溪</t>
        </is>
      </c>
      <c r="G25" s="16" t="inlineStr">
        <is>
          <t>本溪市检察院</t>
        </is>
      </c>
      <c r="H25" s="16" t="n">
        <v>1</v>
      </c>
      <c r="I25" s="16" t="n">
        <v>1</v>
      </c>
      <c r="J25" s="16" t="n">
        <v>0</v>
      </c>
      <c r="K25" s="16" t="n">
        <v>1</v>
      </c>
      <c r="L25" s="16" t="n">
        <v>1</v>
      </c>
      <c r="M25" s="16" t="n">
        <v>0</v>
      </c>
      <c r="N25" s="42" t="n">
        <v>87.08</v>
      </c>
      <c r="O25" s="16" t="n">
        <v>1</v>
      </c>
      <c r="P25" s="16" t="n">
        <v>1</v>
      </c>
      <c r="Q25" s="16" t="n">
        <v>0</v>
      </c>
      <c r="R25" s="16" t="n">
        <v>1</v>
      </c>
      <c r="S25" s="16" t="n">
        <v>1</v>
      </c>
      <c r="T25" s="16" t="n">
        <v>0</v>
      </c>
      <c r="U25" s="42" t="n">
        <v>8.800000000000001</v>
      </c>
      <c r="V25" s="42" t="n">
        <v>0</v>
      </c>
      <c r="W25" s="16" t="inlineStr">
        <is>
          <t>一帖多人，本行取第1人，逐人判定见评测报告</t>
        </is>
      </c>
      <c r="X25" s="30" t="inlineStr">
        <is>
          <t>annotator-B</t>
        </is>
      </c>
      <c r="Y25" s="30" t="inlineStr">
        <is>
          <t>P11</t>
        </is>
      </c>
      <c r="Z25" s="30" t="inlineStr">
        <is>
          <t>P11</t>
        </is>
      </c>
      <c r="AA25" s="32">
        <f>IF(COUNTA(B25:G25,X25)=0,"待填写",IF(OR(B25="",C25="",D25="",E25="",F25="",G25="",X25=""),"缺金标准",IF(NOT(AND(LEN(B25)=64,NOT(ISERROR(DECIMAL(MID(B25,1,8),16))),NOT(ISERROR(DECIMAL(MID(B25,9,8),16))),NOT(ISERROR(DECIMAL(MID(B25,17,8),16))),NOT(ISERROR(DECIMAL(MID(B25,25,8),16))),NOT(ISERROR(DECIMAL(MID(B25,33,8),16))),NOT(ISERROR(DECIMAL(MID(B25,41,8),16))),NOT(ISERROR(DECIMAL(MID(B25,49,8),16))),NOT(ISERROR(DECIMAL(MID(B25,57,8),16))))),"SHA-256格式错误",IF(RIGHT(C25,1)&lt;&gt;"届","届别格式错误",IF(NOT(OR(D25="本科",D25="硕士",D25="硕士研究生",D25="博士",D25="博士研究生",D25="其他")),"学历枚举错误","通过")))))</f>
        <v/>
      </c>
      <c r="AB25" s="32">
        <f>IF(AA25&lt;&gt;"通过","待填写",IF(OR(Y25="",Z25=""),"缺路线ID",IF(AND(Y25=A25,Z25=A25),"通过","样本ID不一致")))</f>
        <v/>
      </c>
      <c r="AC25" t="inlineStr">
        <is>
          <t>2020</t>
        </is>
      </c>
      <c r="AD25" t="inlineStr">
        <is>
          <t>法学院</t>
        </is>
      </c>
      <c r="AE25" t="n">
        <v>1</v>
      </c>
      <c r="AF25" t="n">
        <v>1</v>
      </c>
      <c r="AG25" t="n">
        <v>1</v>
      </c>
      <c r="AH25" t="n">
        <v>1</v>
      </c>
    </row>
    <row r="26">
      <c r="A26" s="12" t="inlineStr">
        <is>
          <t>P12</t>
        </is>
      </c>
      <c r="B26" s="16" t="inlineStr">
        <is>
          <t>6130584ed81827c914e0c6910def99d752302b6accdb08209d5fa83363a9d71f</t>
        </is>
      </c>
      <c r="C26" s="16" t="inlineStr">
        <is>
          <t>2024届</t>
        </is>
      </c>
      <c r="D26" s="16" t="inlineStr">
        <is>
          <t>本科</t>
        </is>
      </c>
      <c r="E26" s="16" t="inlineStr">
        <is>
          <t>经济学</t>
        </is>
      </c>
      <c r="F26" s="16" t="inlineStr">
        <is>
          <t>吐鲁番</t>
        </is>
      </c>
      <c r="G26" s="16" t="inlineStr">
        <is>
          <t>高昌区审计局</t>
        </is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42" t="n">
        <v>81.03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42" t="n">
        <v>4.91</v>
      </c>
      <c r="V26" s="42" t="n">
        <v>0</v>
      </c>
      <c r="W26" s="16" t="inlineStr">
        <is>
          <t>单人物</t>
        </is>
      </c>
      <c r="X26" s="30" t="inlineStr">
        <is>
          <t>annotator-B</t>
        </is>
      </c>
      <c r="Y26" s="30" t="inlineStr">
        <is>
          <t>P12</t>
        </is>
      </c>
      <c r="Z26" s="30" t="inlineStr">
        <is>
          <t>P12</t>
        </is>
      </c>
      <c r="AA26" s="32">
        <f>IF(COUNTA(B26:G26,X26)=0,"待填写",IF(OR(B26="",C26="",D26="",E26="",F26="",G26="",X26=""),"缺金标准",IF(NOT(AND(LEN(B26)=64,NOT(ISERROR(DECIMAL(MID(B26,1,8),16))),NOT(ISERROR(DECIMAL(MID(B26,9,8),16))),NOT(ISERROR(DECIMAL(MID(B26,17,8),16))),NOT(ISERROR(DECIMAL(MID(B26,25,8),16))),NOT(ISERROR(DECIMAL(MID(B26,33,8),16))),NOT(ISERROR(DECIMAL(MID(B26,41,8),16))),NOT(ISERROR(DECIMAL(MID(B26,49,8),16))),NOT(ISERROR(DECIMAL(MID(B26,57,8),16))))),"SHA-256格式错误",IF(RIGHT(C26,1)&lt;&gt;"届","届别格式错误",IF(NOT(OR(D26="本科",D26="硕士",D26="硕士研究生",D26="博士",D26="博士研究生",D26="其他")),"学历枚举错误","通过")))))</f>
        <v/>
      </c>
      <c r="AB26" s="32">
        <f>IF(AA26&lt;&gt;"通过","待填写",IF(OR(Y26="",Z26=""),"缺路线ID",IF(AND(Y26=A26,Z26=A26),"通过","样本ID不一致")))</f>
        <v/>
      </c>
      <c r="AC26" t="inlineStr">
        <is>
          <t>2020</t>
        </is>
      </c>
      <c r="AD26" t="inlineStr">
        <is>
          <t>经济学院</t>
        </is>
      </c>
      <c r="AE26" t="n">
        <v>1</v>
      </c>
      <c r="AF26" t="n">
        <v>1</v>
      </c>
      <c r="AG26" t="n">
        <v>1</v>
      </c>
      <c r="AH26" t="n">
        <v>1</v>
      </c>
    </row>
    <row r="27">
      <c r="A27" s="12" t="inlineStr">
        <is>
          <t>P13</t>
        </is>
      </c>
      <c r="B27" s="16" t="inlineStr">
        <is>
          <t>9b3bb07375819fb630370894c667843e00bdb1dd65af83c9015f463d04b09df9</t>
        </is>
      </c>
      <c r="C27" s="16" t="inlineStr">
        <is>
          <t>2024届</t>
        </is>
      </c>
      <c r="D27" s="16" t="inlineStr">
        <is>
          <t>本科</t>
        </is>
      </c>
      <c r="E27" s="16" t="inlineStr">
        <is>
          <t>环境科学（中外合作办学）</t>
        </is>
      </c>
      <c r="F27" s="16" t="inlineStr">
        <is>
          <t>临汾</t>
        </is>
      </c>
      <c r="G27" s="16" t="inlineStr">
        <is>
          <t>临汾市城联社</t>
        </is>
      </c>
      <c r="H27" s="16" t="n">
        <v>1</v>
      </c>
      <c r="I27" s="16" t="n">
        <v>1</v>
      </c>
      <c r="J27" s="16" t="n">
        <v>0</v>
      </c>
      <c r="K27" s="16" t="n">
        <v>1</v>
      </c>
      <c r="L27" s="16" t="n">
        <v>1</v>
      </c>
      <c r="M27" s="16" t="n">
        <v>0</v>
      </c>
      <c r="N27" s="42" t="n">
        <v>85.23999999999999</v>
      </c>
      <c r="O27" s="16" t="n">
        <v>1</v>
      </c>
      <c r="P27" s="16" t="n">
        <v>1</v>
      </c>
      <c r="Q27" s="16" t="n">
        <v>1</v>
      </c>
      <c r="R27" s="16" t="n">
        <v>0</v>
      </c>
      <c r="S27" s="16" t="n">
        <v>1</v>
      </c>
      <c r="T27" s="16" t="n">
        <v>0</v>
      </c>
      <c r="U27" s="42" t="n">
        <v>11.67</v>
      </c>
      <c r="V27" s="42" t="n">
        <v>0</v>
      </c>
      <c r="W27" s="16" t="inlineStr">
        <is>
          <t>一帖多人，本行取第1人，逐人判定见评测报告</t>
        </is>
      </c>
      <c r="X27" s="30" t="inlineStr">
        <is>
          <t>annotator-B</t>
        </is>
      </c>
      <c r="Y27" s="30" t="inlineStr">
        <is>
          <t>P13</t>
        </is>
      </c>
      <c r="Z27" s="30" t="inlineStr">
        <is>
          <t>P13</t>
        </is>
      </c>
      <c r="AA27" s="32">
        <f>IF(COUNTA(B27:G27,X27)=0,"待填写",IF(OR(B27="",C27="",D27="",E27="",F27="",G27="",X27=""),"缺金标准",IF(NOT(AND(LEN(B27)=64,NOT(ISERROR(DECIMAL(MID(B27,1,8),16))),NOT(ISERROR(DECIMAL(MID(B27,9,8),16))),NOT(ISERROR(DECIMAL(MID(B27,17,8),16))),NOT(ISERROR(DECIMAL(MID(B27,25,8),16))),NOT(ISERROR(DECIMAL(MID(B27,33,8),16))),NOT(ISERROR(DECIMAL(MID(B27,41,8),16))),NOT(ISERROR(DECIMAL(MID(B27,49,8),16))),NOT(ISERROR(DECIMAL(MID(B27,57,8),16))))),"SHA-256格式错误",IF(RIGHT(C27,1)&lt;&gt;"届","届别格式错误",IF(NOT(OR(D27="本科",D27="硕士",D27="硕士研究生",D27="博士",D27="博士研究生",D27="其他")),"学历枚举错误","通过")))))</f>
        <v/>
      </c>
      <c r="AB27" s="32">
        <f>IF(AA27&lt;&gt;"通过","待填写",IF(OR(Y27="",Z27=""),"缺路线ID",IF(AND(Y27=A27,Z27=A27),"通过","样本ID不一致")))</f>
        <v/>
      </c>
      <c r="AC27" t="inlineStr">
        <is>
          <t>2020</t>
        </is>
      </c>
      <c r="AD27" t="inlineStr">
        <is>
          <t>生命与环境科学学院</t>
        </is>
      </c>
      <c r="AE27" t="n">
        <v>1</v>
      </c>
      <c r="AF27" t="n">
        <v>1</v>
      </c>
      <c r="AG27" t="n">
        <v>1</v>
      </c>
      <c r="AH27" t="n">
        <v>1</v>
      </c>
    </row>
    <row r="28">
      <c r="A28" s="12" t="inlineStr">
        <is>
          <t>P14</t>
        </is>
      </c>
      <c r="B28" s="16" t="inlineStr">
        <is>
          <t>21aaf2403d71f165d810f95a1247335ba785ed4990cea052ac67ed9a2cefe69c</t>
        </is>
      </c>
      <c r="C28" s="16" t="inlineStr">
        <is>
          <t>2024届</t>
        </is>
      </c>
      <c r="D28" s="16" t="inlineStr">
        <is>
          <t>本科</t>
        </is>
      </c>
      <c r="E28" s="16" t="inlineStr">
        <is>
          <t>行政管理</t>
        </is>
      </c>
      <c r="F28" s="16" t="inlineStr">
        <is>
          <t>保定</t>
        </is>
      </c>
      <c r="G28" s="16" t="inlineStr">
        <is>
          <t>保定市徐水区财政局</t>
        </is>
      </c>
      <c r="H28" s="16" t="n">
        <v>1</v>
      </c>
      <c r="I28" s="16" t="n">
        <v>1</v>
      </c>
      <c r="J28" s="16" t="n">
        <v>0</v>
      </c>
      <c r="K28" s="16" t="n">
        <v>1</v>
      </c>
      <c r="L28" s="16" t="n">
        <v>1</v>
      </c>
      <c r="M28" s="16" t="n">
        <v>0</v>
      </c>
      <c r="N28" s="42" t="n">
        <v>84.26000000000001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42" t="n">
        <v>8.800000000000001</v>
      </c>
      <c r="V28" s="42" t="n">
        <v>0</v>
      </c>
      <c r="W28" s="16" t="inlineStr">
        <is>
          <t>一帖多人，本行取第1人，逐人判定见评测报告</t>
        </is>
      </c>
      <c r="X28" s="30" t="inlineStr">
        <is>
          <t>annotator-B</t>
        </is>
      </c>
      <c r="Y28" s="30" t="inlineStr">
        <is>
          <t>P14</t>
        </is>
      </c>
      <c r="Z28" s="30" t="inlineStr">
        <is>
          <t>P14</t>
        </is>
      </c>
      <c r="AA28" s="32">
        <f>IF(COUNTA(B28:G28,X28)=0,"待填写",IF(OR(B28="",C28="",D28="",E28="",F28="",G28="",X28=""),"缺金标准",IF(NOT(AND(LEN(B28)=64,NOT(ISERROR(DECIMAL(MID(B28,1,8),16))),NOT(ISERROR(DECIMAL(MID(B28,9,8),16))),NOT(ISERROR(DECIMAL(MID(B28,17,8),16))),NOT(ISERROR(DECIMAL(MID(B28,25,8),16))),NOT(ISERROR(DECIMAL(MID(B28,33,8),16))),NOT(ISERROR(DECIMAL(MID(B28,41,8),16))),NOT(ISERROR(DECIMAL(MID(B28,49,8),16))),NOT(ISERROR(DECIMAL(MID(B28,57,8),16))))),"SHA-256格式错误",IF(RIGHT(C28,1)&lt;&gt;"届","届别格式错误",IF(NOT(OR(D28="本科",D28="硕士",D28="硕士研究生",D28="博士",D28="博士研究生",D28="其他")),"学历枚举错误","通过")))))</f>
        <v/>
      </c>
      <c r="AB28" s="32">
        <f>IF(AA28&lt;&gt;"通过","待填写",IF(OR(Y28="",Z28=""),"缺路线ID",IF(AND(Y28=A28,Z28=A28),"通过","样本ID不一致")))</f>
        <v/>
      </c>
      <c r="AC28" t="inlineStr">
        <is>
          <t>2020</t>
        </is>
      </c>
      <c r="AD28" t="inlineStr">
        <is>
          <t>管理学院</t>
        </is>
      </c>
      <c r="AE28" t="n">
        <v>1</v>
      </c>
      <c r="AF28" t="n">
        <v>0</v>
      </c>
      <c r="AG28" t="n">
        <v>0</v>
      </c>
      <c r="AH28" t="n">
        <v>1</v>
      </c>
    </row>
    <row r="29">
      <c r="A29" s="12" t="inlineStr">
        <is>
          <t>P15</t>
        </is>
      </c>
      <c r="B29" s="16" t="inlineStr">
        <is>
          <t>532e3aa1581d56410d295b460f7f650cbb36068d5b207980d9775d683a1ace44</t>
        </is>
      </c>
      <c r="C29" s="16" t="inlineStr">
        <is>
          <t>2024届</t>
        </is>
      </c>
      <c r="D29" s="16" t="inlineStr">
        <is>
          <t>本科</t>
        </is>
      </c>
      <c r="E29" s="16" t="inlineStr">
        <is>
          <t>汉语言文学</t>
        </is>
      </c>
      <c r="F29" s="16" t="inlineStr">
        <is>
          <t>石阡</t>
        </is>
      </c>
      <c r="G29" s="16" t="inlineStr">
        <is>
          <t>石阡县县委办公室</t>
        </is>
      </c>
      <c r="H29" s="16" t="n">
        <v>1</v>
      </c>
      <c r="I29" s="16" t="n">
        <v>0</v>
      </c>
      <c r="J29" s="16" t="n">
        <v>1</v>
      </c>
      <c r="K29" s="16" t="n">
        <v>1</v>
      </c>
      <c r="L29" s="16" t="n">
        <v>1</v>
      </c>
      <c r="M29" s="16" t="n">
        <v>0</v>
      </c>
      <c r="N29" s="42" t="n">
        <v>86.13</v>
      </c>
      <c r="O29" s="16" t="n">
        <v>1</v>
      </c>
      <c r="P29" s="16" t="n">
        <v>0</v>
      </c>
      <c r="Q29" s="16" t="n">
        <v>1</v>
      </c>
      <c r="R29" s="16" t="n">
        <v>1</v>
      </c>
      <c r="S29" s="16" t="n">
        <v>1</v>
      </c>
      <c r="T29" s="16" t="n">
        <v>0</v>
      </c>
      <c r="U29" s="42" t="n">
        <v>9.74</v>
      </c>
      <c r="V29" s="42" t="n">
        <v>0</v>
      </c>
      <c r="W29" s="16" t="inlineStr">
        <is>
          <t>一帖多人，本行取第1人，逐人判定见评测报告</t>
        </is>
      </c>
      <c r="X29" s="30" t="inlineStr">
        <is>
          <t>annotator-B</t>
        </is>
      </c>
      <c r="Y29" s="30" t="inlineStr">
        <is>
          <t>P15</t>
        </is>
      </c>
      <c r="Z29" s="30" t="inlineStr">
        <is>
          <t>P15</t>
        </is>
      </c>
      <c r="AA29" s="32">
        <f>IF(COUNTA(B29:G29,X29)=0,"待填写",IF(OR(B29="",C29="",D29="",E29="",F29="",G29="",X29=""),"缺金标准",IF(NOT(AND(LEN(B29)=64,NOT(ISERROR(DECIMAL(MID(B29,1,8),16))),NOT(ISERROR(DECIMAL(MID(B29,9,8),16))),NOT(ISERROR(DECIMAL(MID(B29,17,8),16))),NOT(ISERROR(DECIMAL(MID(B29,25,8),16))),NOT(ISERROR(DECIMAL(MID(B29,33,8),16))),NOT(ISERROR(DECIMAL(MID(B29,41,8),16))),NOT(ISERROR(DECIMAL(MID(B29,49,8),16))),NOT(ISERROR(DECIMAL(MID(B29,57,8),16))))),"SHA-256格式错误",IF(RIGHT(C29,1)&lt;&gt;"届","届别格式错误",IF(NOT(OR(D29="本科",D29="硕士",D29="硕士研究生",D29="博士",D29="博士研究生",D29="其他")),"学历枚举错误","通过")))))</f>
        <v/>
      </c>
      <c r="AB29" s="32">
        <f>IF(AA29&lt;&gt;"通过","待填写",IF(OR(Y29="",Z29=""),"缺路线ID",IF(AND(Y29=A29,Z29=A29),"通过","样本ID不一致")))</f>
        <v/>
      </c>
      <c r="AC29" t="inlineStr">
        <is>
          <t>2020</t>
        </is>
      </c>
      <c r="AD29" t="inlineStr">
        <is>
          <t>文学院</t>
        </is>
      </c>
      <c r="AE29" t="n">
        <v>1</v>
      </c>
      <c r="AF29" t="n">
        <v>0</v>
      </c>
      <c r="AG29" t="n">
        <v>0</v>
      </c>
      <c r="AH29" t="n">
        <v>1</v>
      </c>
    </row>
    <row r="30">
      <c r="A30" s="12" t="inlineStr">
        <is>
          <t>P16</t>
        </is>
      </c>
      <c r="B30" s="16" t="inlineStr">
        <is>
          <t>097bd1924b349df9f00767eb68dfd4b409ef04a3d0384d150e2446d537e0214f</t>
        </is>
      </c>
      <c r="C30" s="16" t="inlineStr">
        <is>
          <t>2023届</t>
        </is>
      </c>
      <c r="D30" s="16" t="inlineStr">
        <is>
          <t>本科</t>
        </is>
      </c>
      <c r="E30" s="16" t="inlineStr">
        <is>
          <t>软件工程</t>
        </is>
      </c>
      <c r="F30" s="16" t="inlineStr">
        <is>
          <t>张家口</t>
        </is>
      </c>
      <c r="G30" s="16" t="inlineStr">
        <is>
          <t>张家口市卫生健康委员会</t>
        </is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42" t="n">
        <v>86.59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42" t="n">
        <v>8.890000000000001</v>
      </c>
      <c r="V30" s="42" t="n">
        <v>0</v>
      </c>
      <c r="W30" s="16" t="inlineStr">
        <is>
          <t>一帖多人，本行取第1人，逐人判定见评测报告</t>
        </is>
      </c>
      <c r="X30" s="30" t="inlineStr">
        <is>
          <t>annotator-B</t>
        </is>
      </c>
      <c r="Y30" s="30" t="inlineStr">
        <is>
          <t>P16</t>
        </is>
      </c>
      <c r="Z30" s="30" t="inlineStr">
        <is>
          <t>P16</t>
        </is>
      </c>
      <c r="AA30" s="32">
        <f>IF(COUNTA(B30:G30,X30)=0,"待填写",IF(OR(B30="",C30="",D30="",E30="",F30="",G30="",X30=""),"缺金标准",IF(NOT(AND(LEN(B30)=64,NOT(ISERROR(DECIMAL(MID(B30,1,8),16))),NOT(ISERROR(DECIMAL(MID(B30,9,8),16))),NOT(ISERROR(DECIMAL(MID(B30,17,8),16))),NOT(ISERROR(DECIMAL(MID(B30,25,8),16))),NOT(ISERROR(DECIMAL(MID(B30,33,8),16))),NOT(ISERROR(DECIMAL(MID(B30,41,8),16))),NOT(ISERROR(DECIMAL(MID(B30,49,8),16))),NOT(ISERROR(DECIMAL(MID(B30,57,8),16))))),"SHA-256格式错误",IF(RIGHT(C30,1)&lt;&gt;"届","届别格式错误",IF(NOT(OR(D30="本科",D30="硕士",D30="硕士研究生",D30="博士",D30="博士研究生",D30="其他")),"学历枚举错误","通过")))))</f>
        <v/>
      </c>
      <c r="AB30" s="32">
        <f>IF(AA30&lt;&gt;"通过","待填写",IF(OR(Y30="",Z30=""),"缺路线ID",IF(AND(Y30=A30,Z30=A30),"通过","样本ID不一致")))</f>
        <v/>
      </c>
      <c r="AC30" t="inlineStr">
        <is>
          <t>2019</t>
        </is>
      </c>
      <c r="AD30" t="inlineStr">
        <is>
          <t>信息工程学院</t>
        </is>
      </c>
      <c r="AE30" t="n">
        <v>1</v>
      </c>
      <c r="AF30" t="n">
        <v>0</v>
      </c>
      <c r="AG30" t="n">
        <v>0</v>
      </c>
      <c r="AH30" t="n">
        <v>1</v>
      </c>
    </row>
    <row r="31">
      <c r="A31" s="12" t="inlineStr">
        <is>
          <t>P17</t>
        </is>
      </c>
      <c r="B31" s="16" t="inlineStr">
        <is>
          <t>1810c0d14b31002ec9e56774e60bf7060e569444115185ab7bb55e84e80ca09d</t>
        </is>
      </c>
      <c r="C31" s="16" t="inlineStr">
        <is>
          <t>2023届</t>
        </is>
      </c>
      <c r="D31" s="16" t="inlineStr">
        <is>
          <t>硕士研究生</t>
        </is>
      </c>
      <c r="E31" s="16" t="inlineStr">
        <is>
          <t>金融学</t>
        </is>
      </c>
      <c r="F31" s="16" t="inlineStr">
        <is>
          <t>武汉</t>
        </is>
      </c>
      <c r="G31" s="16" t="inlineStr">
        <is>
          <t>武汉市财政局</t>
        </is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42" t="n">
        <v>85.20999999999999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42" t="n">
        <v>10.69</v>
      </c>
      <c r="V31" s="42" t="n">
        <v>0</v>
      </c>
      <c r="W31" s="16" t="inlineStr">
        <is>
          <t>一帖多人，本行取第1人，逐人判定见评测报告</t>
        </is>
      </c>
      <c r="X31" s="30" t="inlineStr">
        <is>
          <t>annotator-B</t>
        </is>
      </c>
      <c r="Y31" s="30" t="inlineStr">
        <is>
          <t>P17</t>
        </is>
      </c>
      <c r="Z31" s="30" t="inlineStr">
        <is>
          <t>P17</t>
        </is>
      </c>
      <c r="AA31" s="32">
        <f>IF(COUNTA(B31:G31,X31)=0,"待填写",IF(OR(B31="",C31="",D31="",E31="",F31="",G31="",X31=""),"缺金标准",IF(NOT(AND(LEN(B31)=64,NOT(ISERROR(DECIMAL(MID(B31,1,8),16))),NOT(ISERROR(DECIMAL(MID(B31,9,8),16))),NOT(ISERROR(DECIMAL(MID(B31,17,8),16))),NOT(ISERROR(DECIMAL(MID(B31,25,8),16))),NOT(ISERROR(DECIMAL(MID(B31,33,8),16))),NOT(ISERROR(DECIMAL(MID(B31,41,8),16))),NOT(ISERROR(DECIMAL(MID(B31,49,8),16))),NOT(ISERROR(DECIMAL(MID(B31,57,8),16))))),"SHA-256格式错误",IF(RIGHT(C31,1)&lt;&gt;"届","届别格式错误",IF(NOT(OR(D31="本科",D31="硕士",D31="硕士研究生",D31="博士",D31="博士研究生",D31="其他")),"学历枚举错误","通过")))))</f>
        <v/>
      </c>
      <c r="AB31" s="32">
        <f>IF(AA31&lt;&gt;"通过","待填写",IF(OR(Y31="",Z31=""),"缺路线ID",IF(AND(Y31=A31,Z31=A31),"通过","样本ID不一致")))</f>
        <v/>
      </c>
      <c r="AC31" t="inlineStr">
        <is>
          <t>2020</t>
        </is>
      </c>
      <c r="AD31" t="inlineStr">
        <is>
          <t>经济学院</t>
        </is>
      </c>
      <c r="AE31" t="n">
        <v>1</v>
      </c>
      <c r="AF31" t="n">
        <v>1</v>
      </c>
      <c r="AG31" t="n">
        <v>0</v>
      </c>
      <c r="AH31" t="n">
        <v>1</v>
      </c>
    </row>
    <row r="32">
      <c r="A32" s="12" t="inlineStr">
        <is>
          <t>P18</t>
        </is>
      </c>
      <c r="B32" s="16" t="inlineStr">
        <is>
          <t>c7958b9505bd7aac9301b8171d7dc984d74d7f1bae1253cd9999a2acf3e7412c</t>
        </is>
      </c>
      <c r="C32" s="16" t="inlineStr">
        <is>
          <t>2024届</t>
        </is>
      </c>
      <c r="D32" s="16" t="inlineStr">
        <is>
          <t>本科</t>
        </is>
      </c>
      <c r="E32" s="16" t="inlineStr">
        <is>
          <t>法英</t>
        </is>
      </c>
      <c r="F32" s="16" t="inlineStr">
        <is>
          <t>南昌</t>
        </is>
      </c>
      <c r="G32" s="16" t="inlineStr">
        <is>
          <t>新建区人民政府</t>
        </is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42" t="n">
        <v>86.01000000000001</v>
      </c>
      <c r="O32" s="16" t="n">
        <v>1</v>
      </c>
      <c r="P32" s="16" t="n">
        <v>1</v>
      </c>
      <c r="Q32" s="16" t="n">
        <v>0</v>
      </c>
      <c r="R32" s="16" t="n">
        <v>1</v>
      </c>
      <c r="S32" s="16" t="n">
        <v>1</v>
      </c>
      <c r="T32" s="16" t="n">
        <v>0</v>
      </c>
      <c r="U32" s="42" t="n">
        <v>8.5</v>
      </c>
      <c r="V32" s="42" t="n">
        <v>0</v>
      </c>
      <c r="W32" s="16" t="inlineStr">
        <is>
          <t>一帖多人，本行取第1人，逐人判定见评测报告</t>
        </is>
      </c>
      <c r="X32" s="30" t="inlineStr">
        <is>
          <t>annotator-B</t>
        </is>
      </c>
      <c r="Y32" s="30" t="inlineStr">
        <is>
          <t>P18</t>
        </is>
      </c>
      <c r="Z32" s="30" t="inlineStr">
        <is>
          <t>P18</t>
        </is>
      </c>
      <c r="AA32" s="32">
        <f>IF(COUNTA(B32:G32,X32)=0,"待填写",IF(OR(B32="",C32="",D32="",E32="",F32="",G32="",X32=""),"缺金标准",IF(NOT(AND(LEN(B32)=64,NOT(ISERROR(DECIMAL(MID(B32,1,8),16))),NOT(ISERROR(DECIMAL(MID(B32,9,8),16))),NOT(ISERROR(DECIMAL(MID(B32,17,8),16))),NOT(ISERROR(DECIMAL(MID(B32,25,8),16))),NOT(ISERROR(DECIMAL(MID(B32,33,8),16))),NOT(ISERROR(DECIMAL(MID(B32,41,8),16))),NOT(ISERROR(DECIMAL(MID(B32,49,8),16))),NOT(ISERROR(DECIMAL(MID(B32,57,8),16))))),"SHA-256格式错误",IF(RIGHT(C32,1)&lt;&gt;"届","届别格式错误",IF(NOT(OR(D32="本科",D32="硕士",D32="硕士研究生",D32="博士",D32="博士研究生",D32="其他")),"学历枚举错误","通过")))))</f>
        <v/>
      </c>
      <c r="AB32" s="32">
        <f>IF(AA32&lt;&gt;"通过","待填写",IF(OR(Y32="",Z32=""),"缺路线ID",IF(AND(Y32=A32,Z32=A32),"通过","样本ID不一致")))</f>
        <v/>
      </c>
      <c r="AC32" t="inlineStr">
        <is>
          <t>2020</t>
        </is>
      </c>
      <c r="AD32" t="inlineStr">
        <is>
          <t>法学院</t>
        </is>
      </c>
      <c r="AE32" t="n">
        <v>1</v>
      </c>
      <c r="AF32" t="n">
        <v>1</v>
      </c>
      <c r="AG32" t="n">
        <v>0</v>
      </c>
      <c r="AH32" t="n">
        <v>1</v>
      </c>
    </row>
    <row r="33">
      <c r="A33" s="12" t="inlineStr">
        <is>
          <t>P19</t>
        </is>
      </c>
      <c r="B33" s="16" t="inlineStr">
        <is>
          <t>130d6a57b214ff4446b5ac00623fe3e2f6b8ef112c29a6b0971b3f9a65236522</t>
        </is>
      </c>
      <c r="C33" s="16" t="inlineStr">
        <is>
          <t>2023届</t>
        </is>
      </c>
      <c r="D33" s="16" t="inlineStr">
        <is>
          <t>本科</t>
        </is>
      </c>
      <c r="E33" s="16" t="inlineStr">
        <is>
          <t>汉语言文学</t>
        </is>
      </c>
      <c r="F33" s="16" t="inlineStr">
        <is>
          <t>长治</t>
        </is>
      </c>
      <c r="G33" s="16" t="inlineStr">
        <is>
          <t>长治市劳动人事争议仲裁院</t>
        </is>
      </c>
      <c r="H33" s="16" t="n">
        <v>1</v>
      </c>
      <c r="I33" s="16" t="n">
        <v>1</v>
      </c>
      <c r="J33" s="16" t="n">
        <v>0</v>
      </c>
      <c r="K33" s="16" t="n">
        <v>1</v>
      </c>
      <c r="L33" s="16" t="n">
        <v>1</v>
      </c>
      <c r="M33" s="16" t="n">
        <v>0</v>
      </c>
      <c r="N33" s="42" t="n">
        <v>88.61</v>
      </c>
      <c r="O33" s="16" t="n">
        <v>1</v>
      </c>
      <c r="P33" s="16" t="n">
        <v>1</v>
      </c>
      <c r="Q33" s="16" t="n">
        <v>0</v>
      </c>
      <c r="R33" s="16" t="n">
        <v>0</v>
      </c>
      <c r="S33" s="16" t="n">
        <v>1</v>
      </c>
      <c r="T33" s="16" t="n">
        <v>0</v>
      </c>
      <c r="U33" s="42" t="n">
        <v>15.21</v>
      </c>
      <c r="V33" s="42" t="n">
        <v>0</v>
      </c>
      <c r="W33" s="16" t="inlineStr">
        <is>
          <t>一帖多人，本行取第1人，逐人判定见评测报告</t>
        </is>
      </c>
      <c r="X33" s="30" t="inlineStr">
        <is>
          <t>annotator-B</t>
        </is>
      </c>
      <c r="Y33" s="30" t="inlineStr">
        <is>
          <t>P19</t>
        </is>
      </c>
      <c r="Z33" s="30" t="inlineStr">
        <is>
          <t>P19</t>
        </is>
      </c>
      <c r="AA33" s="32">
        <f>IF(COUNTA(B33:G33,X33)=0,"待填写",IF(OR(B33="",C33="",D33="",E33="",F33="",G33="",X33=""),"缺金标准",IF(NOT(AND(LEN(B33)=64,NOT(ISERROR(DECIMAL(MID(B33,1,8),16))),NOT(ISERROR(DECIMAL(MID(B33,9,8),16))),NOT(ISERROR(DECIMAL(MID(B33,17,8),16))),NOT(ISERROR(DECIMAL(MID(B33,25,8),16))),NOT(ISERROR(DECIMAL(MID(B33,33,8),16))),NOT(ISERROR(DECIMAL(MID(B33,41,8),16))),NOT(ISERROR(DECIMAL(MID(B33,49,8),16))),NOT(ISERROR(DECIMAL(MID(B33,57,8),16))))),"SHA-256格式错误",IF(RIGHT(C33,1)&lt;&gt;"届","届别格式错误",IF(NOT(OR(D33="本科",D33="硕士",D33="硕士研究生",D33="博士",D33="博士研究生",D33="其他")),"学历枚举错误","通过")))))</f>
        <v/>
      </c>
      <c r="AB33" s="32">
        <f>IF(AA33&lt;&gt;"通过","待填写",IF(OR(Y33="",Z33=""),"缺路线ID",IF(AND(Y33=A33,Z33=A33),"通过","样本ID不一致")))</f>
        <v/>
      </c>
      <c r="AC33" t="inlineStr">
        <is>
          <t>2019</t>
        </is>
      </c>
      <c r="AD33" t="inlineStr">
        <is>
          <t>文学院</t>
        </is>
      </c>
      <c r="AE33" t="n">
        <v>1</v>
      </c>
      <c r="AF33" t="n">
        <v>1</v>
      </c>
      <c r="AG33" t="n">
        <v>0</v>
      </c>
      <c r="AH33" t="n">
        <v>1</v>
      </c>
    </row>
    <row r="34">
      <c r="A34" s="12" t="inlineStr">
        <is>
          <t>P20</t>
        </is>
      </c>
      <c r="B34" s="16" t="inlineStr">
        <is>
          <t>36494aaa525a903a7f3c72cdbaced3b777b790119453815575556c972ec9bb7b</t>
        </is>
      </c>
      <c r="C34" s="16" t="inlineStr">
        <is>
          <t>2023届</t>
        </is>
      </c>
      <c r="D34" s="16" t="inlineStr">
        <is>
          <t>本科</t>
        </is>
      </c>
      <c r="E34" s="16" t="inlineStr">
        <is>
          <t>哲学</t>
        </is>
      </c>
      <c r="F34" s="16" t="inlineStr">
        <is>
          <t>乌鲁木齐</t>
        </is>
      </c>
      <c r="G34" s="16" t="inlineStr">
        <is>
          <t>乌鲁木齐市委统战部</t>
        </is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42" t="n">
        <v>87.16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0</v>
      </c>
      <c r="T34" s="16" t="n">
        <v>0</v>
      </c>
      <c r="U34" s="42" t="n">
        <v>7.98</v>
      </c>
      <c r="V34" s="42" t="n">
        <v>0</v>
      </c>
      <c r="W34" s="16" t="inlineStr">
        <is>
          <t>一帖多人，本行取第1人，逐人判定见评测报告</t>
        </is>
      </c>
      <c r="X34" s="30" t="inlineStr">
        <is>
          <t>annotator-B</t>
        </is>
      </c>
      <c r="Y34" s="30" t="inlineStr">
        <is>
          <t>P20</t>
        </is>
      </c>
      <c r="Z34" s="30" t="inlineStr">
        <is>
          <t>P20</t>
        </is>
      </c>
      <c r="AA34" s="32">
        <f>IF(COUNTA(B34:G34,X34)=0,"待填写",IF(OR(B34="",C34="",D34="",E34="",F34="",G34="",X34=""),"缺金标准",IF(NOT(AND(LEN(B34)=64,NOT(ISERROR(DECIMAL(MID(B34,1,8),16))),NOT(ISERROR(DECIMAL(MID(B34,9,8),16))),NOT(ISERROR(DECIMAL(MID(B34,17,8),16))),NOT(ISERROR(DECIMAL(MID(B34,25,8),16))),NOT(ISERROR(DECIMAL(MID(B34,33,8),16))),NOT(ISERROR(DECIMAL(MID(B34,41,8),16))),NOT(ISERROR(DECIMAL(MID(B34,49,8),16))),NOT(ISERROR(DECIMAL(MID(B34,57,8),16))))),"SHA-256格式错误",IF(RIGHT(C34,1)&lt;&gt;"届","届别格式错误",IF(NOT(OR(D34="本科",D34="硕士",D34="硕士研究生",D34="博士",D34="博士研究生",D34="其他")),"学历枚举错误","通过")))))</f>
        <v/>
      </c>
      <c r="AB34" s="32">
        <f>IF(AA34&lt;&gt;"通过","待填写",IF(OR(Y34="",Z34=""),"缺路线ID",IF(AND(Y34=A34,Z34=A34),"通过","样本ID不一致")))</f>
        <v/>
      </c>
      <c r="AC34" t="inlineStr">
        <is>
          <t>2019</t>
        </is>
      </c>
      <c r="AD34" t="inlineStr">
        <is>
          <t>哲学与宗教学学院</t>
        </is>
      </c>
      <c r="AE34" t="n">
        <v>0</v>
      </c>
      <c r="AF34" t="n">
        <v>0</v>
      </c>
      <c r="AG34" t="n">
        <v>0</v>
      </c>
      <c r="AH34" t="n">
        <v>1</v>
      </c>
    </row>
    <row r="35">
      <c r="A35" s="45" t="inlineStr">
        <is>
          <t>口径说明（2026-09-20 终版，与 PR #5 evaluation_report.json 一致）：0/1 与完整记录为裁决后口径=严格∪人工等价裁决（data/gold/equivalence_adjudicated.json，57 项等价）；P02 城市金标准为 null 不计分母，故城市与完整记录分母为 19；年级/学院无等价裁决项，裁决后=严格口径；耗时为 v2.2 终版重跑值；单张成本 0 元（glm-4v-flash 免费档）。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9" t="inlineStr">
        <is>
          <t>外部评测元数据</t>
        </is>
      </c>
      <c r="B37" s="9" t="inlineStr">
        <is>
          <t>服务商</t>
        </is>
      </c>
      <c r="C37" s="9" t="inlineStr">
        <is>
          <t>模型版本</t>
        </is>
      </c>
      <c r="D37" s="9" t="inlineStr">
        <is>
          <t>发送数据类型</t>
        </is>
      </c>
      <c r="E37" s="9" t="inlineStr">
        <is>
          <t>授权依据</t>
        </is>
      </c>
      <c r="F37" s="9" t="inlineStr">
        <is>
          <t>保留策略</t>
        </is>
      </c>
      <c r="G37" s="9" t="inlineStr">
        <is>
          <t>价格日期</t>
        </is>
      </c>
      <c r="H37" s="9" t="inlineStr">
        <is>
          <t>脱敏检查</t>
        </is>
      </c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2" t="inlineStr">
        <is>
          <t>由B填写</t>
        </is>
      </c>
      <c r="B38" s="16" t="inlineStr">
        <is>
          <t>智谱 zhipu (bigmodel.cn)</t>
        </is>
      </c>
      <c r="C38" s="16" t="inlineStr">
        <is>
          <t>glm-4v-flash</t>
        </is>
      </c>
      <c r="D38" s="16" t="inlineStr">
        <is>
          <t>门户页面PDF导出派生图（等比缩至1600px）</t>
        </is>
      </c>
      <c r="E38" s="16" t="inlineStr">
        <is>
          <t>软件工程课程内部评测；公开发布海报页面导出</t>
        </is>
      </c>
      <c r="F38" s="16" t="inlineStr">
        <is>
          <t>原始结果(含姓名)存仓库外受控目录；仓库只留字段值与指标</t>
        </is>
      </c>
      <c r="G38" s="16" t="inlineStr">
        <is>
          <t>2026-09-19（glm-4v-flash免费档0元/张）</t>
        </is>
      </c>
      <c r="H38" s="16" t="inlineStr">
        <is>
          <t>通过（PII不入仓库，PR diff扫描0命中）</t>
        </is>
      </c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conditionalFormatting sqref="H15:M34">
    <cfRule type="cellIs" priority="1" operator="equal" dxfId="12">
      <formula>0</formula>
    </cfRule>
  </conditionalFormatting>
  <conditionalFormatting sqref="O15:T34">
    <cfRule type="cellIs" priority="2" operator="equal" dxfId="12">
      <formula>0</formula>
    </cfRule>
  </conditionalFormatting>
  <dataValidations count="16">
    <dataValidation sqref="D15:D34" showDropDown="0" showInputMessage="0" showErrorMessage="0" allowBlank="0" type="list">
      <formula1>"本科,硕士,硕士研究生,博士,博士研究生,其他"</formula1>
    </dataValidation>
    <dataValidation sqref="Y15:Z34" showDropDown="0" showInputMessage="0" showErrorMessage="0" allowBlank="0" type="list">
      <formula1>"P01,P02,P03,P04,P05,P06,P07,P08,P09,P10,P11,P12,P13,P14,P15,P16,P17,P18,P19,P20"</formula1>
    </dataValidation>
    <dataValidation sqref="H15:H34" showDropDown="0" showInputMessage="0" showErrorMessage="0" allowBlank="0" type="whole" operator="between">
      <formula1>0</formula1>
      <formula2>1</formula2>
    </dataValidation>
    <dataValidation sqref="I15:I34" showDropDown="0" showInputMessage="0" showErrorMessage="0" allowBlank="0" type="whole" operator="between">
      <formula1>0</formula1>
      <formula2>1</formula2>
    </dataValidation>
    <dataValidation sqref="J15:J34" showDropDown="0" showInputMessage="0" showErrorMessage="0" allowBlank="0" type="whole" operator="between">
      <formula1>0</formula1>
      <formula2>1</formula2>
    </dataValidation>
    <dataValidation sqref="K15:K34" showDropDown="0" showInputMessage="0" showErrorMessage="0" allowBlank="0" type="whole" operator="between">
      <formula1>0</formula1>
      <formula2>1</formula2>
    </dataValidation>
    <dataValidation sqref="L15:L34" showDropDown="0" showInputMessage="0" showErrorMessage="0" allowBlank="0" type="whole" operator="between">
      <formula1>0</formula1>
      <formula2>1</formula2>
    </dataValidation>
    <dataValidation sqref="M15:M34" showDropDown="0" showInputMessage="0" showErrorMessage="0" allowBlank="0" type="whole" operator="between">
      <formula1>0</formula1>
      <formula2>1</formula2>
    </dataValidation>
    <dataValidation sqref="O15:O34" showDropDown="0" showInputMessage="0" showErrorMessage="0" allowBlank="0" type="whole" operator="between">
      <formula1>0</formula1>
      <formula2>1</formula2>
    </dataValidation>
    <dataValidation sqref="P15:P34" showDropDown="0" showInputMessage="0" showErrorMessage="0" allowBlank="0" type="whole" operator="between">
      <formula1>0</formula1>
      <formula2>1</formula2>
    </dataValidation>
    <dataValidation sqref="Q15:Q34" showDropDown="0" showInputMessage="0" showErrorMessage="0" allowBlank="0" type="whole" operator="between">
      <formula1>0</formula1>
      <formula2>1</formula2>
    </dataValidation>
    <dataValidation sqref="R15:R34" showDropDown="0" showInputMessage="0" showErrorMessage="0" allowBlank="0" type="whole" operator="between">
      <formula1>0</formula1>
      <formula2>1</formula2>
    </dataValidation>
    <dataValidation sqref="S15:S34" showDropDown="0" showInputMessage="0" showErrorMessage="0" allowBlank="0" type="whole" operator="between">
      <formula1>0</formula1>
      <formula2>1</formula2>
    </dataValidation>
    <dataValidation sqref="T15:T34" showDropDown="0" showInputMessage="0" showErrorMessage="0" allowBlank="0" type="whole" operator="between">
      <formula1>0</formula1>
      <formula2>1</formula2>
    </dataValidation>
    <dataValidation sqref="N15:N34" showDropDown="0" showInputMessage="0" showErrorMessage="0" allowBlank="0" type="decimal" operator="greaterThanOrEqual">
      <formula1>0</formula1>
    </dataValidation>
    <dataValidation sqref="U15:V34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.75" customWidth="1" min="1" max="1"/>
    <col width="7.5" customWidth="1" min="2" max="2"/>
    <col width="11.88000011444092" customWidth="1" min="3" max="3"/>
    <col width="10.63000011444092" customWidth="1" min="4" max="4"/>
    <col width="32.5" customWidth="1" min="5" max="5"/>
    <col width="15.63000011444092" customWidth="1" min="6" max="6"/>
    <col width="10.63000011444092" customWidth="1" min="7" max="7"/>
    <col width="9.380000114440918" customWidth="1" min="8" max="8"/>
    <col width="18.75" customWidth="1" min="9" max="9"/>
    <col width="27.5" customWidth="1" min="10" max="10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证据索引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仓库只保存可公开且已脱敏的小文件。录屏或大文件填写共享链接、PR或GitHub附件地址。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证据ID</t>
        </is>
      </c>
      <c r="B5" s="9" t="inlineStr">
        <is>
          <t>角色</t>
        </is>
      </c>
      <c r="C5" s="9" t="inlineStr">
        <is>
          <t>关联验收ID</t>
        </is>
      </c>
      <c r="D5" s="9" t="inlineStr">
        <is>
          <t>证据类型</t>
        </is>
      </c>
      <c r="E5" s="9" t="inlineStr">
        <is>
          <t>文件路径或URL</t>
        </is>
      </c>
      <c r="F5" s="9" t="inlineStr">
        <is>
          <t>生成时间</t>
        </is>
      </c>
      <c r="G5" s="9" t="inlineStr">
        <is>
          <t>脱敏检查</t>
        </is>
      </c>
      <c r="H5" s="9" t="inlineStr">
        <is>
          <t>检查人</t>
        </is>
      </c>
      <c r="I5" s="9" t="inlineStr">
        <is>
          <t>Commit或PR</t>
        </is>
      </c>
      <c r="J5" s="9" t="inlineStr">
        <is>
          <t>说明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>
      <c r="A6" s="12" t="inlineStr">
        <is>
          <t>E-01</t>
        </is>
      </c>
      <c r="B6" s="16" t="n"/>
      <c r="C6" s="16" t="n"/>
      <c r="D6" s="16" t="n"/>
      <c r="E6" s="16" t="n"/>
      <c r="F6" s="40" t="n"/>
      <c r="G6" s="16" t="n"/>
      <c r="H6" s="16" t="n"/>
      <c r="I6" s="16" t="n"/>
      <c r="J6" s="16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>
      <c r="A7" s="12" t="inlineStr">
        <is>
          <t>E-02</t>
        </is>
      </c>
      <c r="B7" s="16" t="n"/>
      <c r="C7" s="16" t="n"/>
      <c r="D7" s="16" t="n"/>
      <c r="E7" s="16" t="n"/>
      <c r="F7" s="40" t="n"/>
      <c r="G7" s="16" t="n"/>
      <c r="H7" s="16" t="n"/>
      <c r="I7" s="16" t="n"/>
      <c r="J7" s="16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>
      <c r="A8" s="12" t="inlineStr">
        <is>
          <t>E-03</t>
        </is>
      </c>
      <c r="B8" s="16" t="n"/>
      <c r="C8" s="16" t="n"/>
      <c r="D8" s="16" t="n"/>
      <c r="E8" s="16" t="n"/>
      <c r="F8" s="40" t="n"/>
      <c r="G8" s="16" t="n"/>
      <c r="H8" s="16" t="n"/>
      <c r="I8" s="16" t="n"/>
      <c r="J8" s="16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>
      <c r="A9" s="12" t="inlineStr">
        <is>
          <t>E-04</t>
        </is>
      </c>
      <c r="B9" s="16" t="n"/>
      <c r="C9" s="16" t="n"/>
      <c r="D9" s="16" t="n"/>
      <c r="E9" s="16" t="n"/>
      <c r="F9" s="40" t="n"/>
      <c r="G9" s="16" t="n"/>
      <c r="H9" s="16" t="n"/>
      <c r="I9" s="16" t="n"/>
      <c r="J9" s="16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>
      <c r="A10" s="12" t="inlineStr">
        <is>
          <t>E-05</t>
        </is>
      </c>
      <c r="B10" s="16" t="n"/>
      <c r="C10" s="16" t="n"/>
      <c r="D10" s="16" t="n"/>
      <c r="E10" s="16" t="n"/>
      <c r="F10" s="40" t="n"/>
      <c r="G10" s="16" t="n"/>
      <c r="H10" s="16" t="n"/>
      <c r="I10" s="16" t="n"/>
      <c r="J10" s="16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>
      <c r="A11" s="12" t="inlineStr">
        <is>
          <t>E-06</t>
        </is>
      </c>
      <c r="B11" s="16" t="n"/>
      <c r="C11" s="16" t="n"/>
      <c r="D11" s="16" t="n"/>
      <c r="E11" s="16" t="n"/>
      <c r="F11" s="40" t="n"/>
      <c r="G11" s="16" t="n"/>
      <c r="H11" s="16" t="n"/>
      <c r="I11" s="16" t="n"/>
      <c r="J11" s="16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>
      <c r="A12" s="12" t="inlineStr">
        <is>
          <t>E-07</t>
        </is>
      </c>
      <c r="B12" s="16" t="n"/>
      <c r="C12" s="16" t="n"/>
      <c r="D12" s="16" t="n"/>
      <c r="E12" s="16" t="n"/>
      <c r="F12" s="40" t="n"/>
      <c r="G12" s="16" t="n"/>
      <c r="H12" s="16" t="n"/>
      <c r="I12" s="16" t="n"/>
      <c r="J12" s="16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>
      <c r="A13" s="12" t="inlineStr">
        <is>
          <t>E-08</t>
        </is>
      </c>
      <c r="B13" s="16" t="n"/>
      <c r="C13" s="16" t="n"/>
      <c r="D13" s="16" t="n"/>
      <c r="E13" s="16" t="n"/>
      <c r="F13" s="40" t="n"/>
      <c r="G13" s="16" t="n"/>
      <c r="H13" s="16" t="n"/>
      <c r="I13" s="16" t="n"/>
      <c r="J13" s="16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>
      <c r="A14" s="12" t="inlineStr">
        <is>
          <t>E-09</t>
        </is>
      </c>
      <c r="B14" s="16" t="n"/>
      <c r="C14" s="16" t="n"/>
      <c r="D14" s="16" t="n"/>
      <c r="E14" s="16" t="n"/>
      <c r="F14" s="40" t="n"/>
      <c r="G14" s="16" t="n"/>
      <c r="H14" s="16" t="n"/>
      <c r="I14" s="16" t="n"/>
      <c r="J14" s="16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>
      <c r="A15" s="12" t="inlineStr">
        <is>
          <t>E-10</t>
        </is>
      </c>
      <c r="B15" s="16" t="n"/>
      <c r="C15" s="16" t="n"/>
      <c r="D15" s="16" t="n"/>
      <c r="E15" s="16" t="n"/>
      <c r="F15" s="40" t="n"/>
      <c r="G15" s="16" t="n"/>
      <c r="H15" s="16" t="n"/>
      <c r="I15" s="16" t="n"/>
      <c r="J15" s="16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>
      <c r="A16" s="12" t="inlineStr">
        <is>
          <t>E-11</t>
        </is>
      </c>
      <c r="B16" s="16" t="n"/>
      <c r="C16" s="16" t="n"/>
      <c r="D16" s="16" t="n"/>
      <c r="E16" s="16" t="n"/>
      <c r="F16" s="40" t="n"/>
      <c r="G16" s="16" t="n"/>
      <c r="H16" s="16" t="n"/>
      <c r="I16" s="16" t="n"/>
      <c r="J16" s="16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>
      <c r="A17" s="12" t="inlineStr">
        <is>
          <t>E-12</t>
        </is>
      </c>
      <c r="B17" s="16" t="n"/>
      <c r="C17" s="16" t="n"/>
      <c r="D17" s="16" t="n"/>
      <c r="E17" s="16" t="n"/>
      <c r="F17" s="40" t="n"/>
      <c r="G17" s="16" t="n"/>
      <c r="H17" s="16" t="n"/>
      <c r="I17" s="16" t="n"/>
      <c r="J17" s="16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>
      <c r="A18" s="12" t="inlineStr">
        <is>
          <t>E-13</t>
        </is>
      </c>
      <c r="B18" s="16" t="n"/>
      <c r="C18" s="16" t="n"/>
      <c r="D18" s="16" t="n"/>
      <c r="E18" s="16" t="n"/>
      <c r="F18" s="40" t="n"/>
      <c r="G18" s="16" t="n"/>
      <c r="H18" s="16" t="n"/>
      <c r="I18" s="16" t="n"/>
      <c r="J18" s="16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>
      <c r="A19" s="12" t="inlineStr">
        <is>
          <t>E-14</t>
        </is>
      </c>
      <c r="B19" s="16" t="n"/>
      <c r="C19" s="16" t="n"/>
      <c r="D19" s="16" t="n"/>
      <c r="E19" s="16" t="n"/>
      <c r="F19" s="40" t="n"/>
      <c r="G19" s="16" t="n"/>
      <c r="H19" s="16" t="n"/>
      <c r="I19" s="16" t="n"/>
      <c r="J19" s="16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>
      <c r="A20" s="12" t="inlineStr">
        <is>
          <t>E-15</t>
        </is>
      </c>
      <c r="B20" s="16" t="n"/>
      <c r="C20" s="16" t="n"/>
      <c r="D20" s="16" t="n"/>
      <c r="E20" s="16" t="n"/>
      <c r="F20" s="40" t="n"/>
      <c r="G20" s="16" t="n"/>
      <c r="H20" s="16" t="n"/>
      <c r="I20" s="16" t="n"/>
      <c r="J20" s="16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>
      <c r="A21" s="12" t="inlineStr">
        <is>
          <t>E-16</t>
        </is>
      </c>
      <c r="B21" s="16" t="n"/>
      <c r="C21" s="16" t="n"/>
      <c r="D21" s="16" t="n"/>
      <c r="E21" s="16" t="n"/>
      <c r="F21" s="40" t="n"/>
      <c r="G21" s="16" t="n"/>
      <c r="H21" s="16" t="n"/>
      <c r="I21" s="16" t="n"/>
      <c r="J21" s="16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>
      <c r="A22" s="12" t="inlineStr">
        <is>
          <t>E-17</t>
        </is>
      </c>
      <c r="B22" s="16" t="n"/>
      <c r="C22" s="16" t="n"/>
      <c r="D22" s="16" t="n"/>
      <c r="E22" s="16" t="n"/>
      <c r="F22" s="40" t="n"/>
      <c r="G22" s="16" t="n"/>
      <c r="H22" s="16" t="n"/>
      <c r="I22" s="16" t="n"/>
      <c r="J22" s="16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>
      <c r="A23" s="12" t="inlineStr">
        <is>
          <t>E-18</t>
        </is>
      </c>
      <c r="B23" s="16" t="n"/>
      <c r="C23" s="16" t="n"/>
      <c r="D23" s="16" t="n"/>
      <c r="E23" s="16" t="n"/>
      <c r="F23" s="40" t="n"/>
      <c r="G23" s="16" t="n"/>
      <c r="H23" s="16" t="n"/>
      <c r="I23" s="16" t="n"/>
      <c r="J23" s="16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>
      <c r="A24" s="12" t="inlineStr">
        <is>
          <t>E-19</t>
        </is>
      </c>
      <c r="B24" s="16" t="n"/>
      <c r="C24" s="16" t="n"/>
      <c r="D24" s="16" t="n"/>
      <c r="E24" s="16" t="n"/>
      <c r="F24" s="40" t="n"/>
      <c r="G24" s="16" t="n"/>
      <c r="H24" s="16" t="n"/>
      <c r="I24" s="16" t="n"/>
      <c r="J24" s="16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>
      <c r="A25" s="12" t="inlineStr">
        <is>
          <t>E-20</t>
        </is>
      </c>
      <c r="B25" s="16" t="n"/>
      <c r="C25" s="16" t="n"/>
      <c r="D25" s="16" t="n"/>
      <c r="E25" s="16" t="n"/>
      <c r="F25" s="40" t="n"/>
      <c r="G25" s="16" t="n"/>
      <c r="H25" s="16" t="n"/>
      <c r="I25" s="16" t="n"/>
      <c r="J25" s="16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>
      <c r="A26" s="12" t="inlineStr">
        <is>
          <t>E-21</t>
        </is>
      </c>
      <c r="B26" s="16" t="n"/>
      <c r="C26" s="16" t="n"/>
      <c r="D26" s="16" t="n"/>
      <c r="E26" s="16" t="n"/>
      <c r="F26" s="40" t="n"/>
      <c r="G26" s="16" t="n"/>
      <c r="H26" s="16" t="n"/>
      <c r="I26" s="16" t="n"/>
      <c r="J26" s="16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>
      <c r="A27" s="12" t="inlineStr">
        <is>
          <t>E-22</t>
        </is>
      </c>
      <c r="B27" s="16" t="n"/>
      <c r="C27" s="16" t="n"/>
      <c r="D27" s="16" t="n"/>
      <c r="E27" s="16" t="n"/>
      <c r="F27" s="40" t="n"/>
      <c r="G27" s="16" t="n"/>
      <c r="H27" s="16" t="n"/>
      <c r="I27" s="16" t="n"/>
      <c r="J27" s="16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2" t="inlineStr">
        <is>
          <t>E-23</t>
        </is>
      </c>
      <c r="B28" s="16" t="n"/>
      <c r="C28" s="16" t="n"/>
      <c r="D28" s="16" t="n"/>
      <c r="E28" s="16" t="n"/>
      <c r="F28" s="40" t="n"/>
      <c r="G28" s="16" t="n"/>
      <c r="H28" s="16" t="n"/>
      <c r="I28" s="16" t="n"/>
      <c r="J28" s="16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2" t="inlineStr">
        <is>
          <t>E-24</t>
        </is>
      </c>
      <c r="B29" s="16" t="n"/>
      <c r="C29" s="16" t="n"/>
      <c r="D29" s="16" t="n"/>
      <c r="E29" s="16" t="n"/>
      <c r="F29" s="40" t="n"/>
      <c r="G29" s="16" t="n"/>
      <c r="H29" s="16" t="n"/>
      <c r="I29" s="16" t="n"/>
      <c r="J29" s="16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2" t="inlineStr">
        <is>
          <t>E-25</t>
        </is>
      </c>
      <c r="B30" s="16" t="n"/>
      <c r="C30" s="16" t="n"/>
      <c r="D30" s="16" t="n"/>
      <c r="E30" s="16" t="n"/>
      <c r="F30" s="40" t="n"/>
      <c r="G30" s="16" t="n"/>
      <c r="H30" s="16" t="n"/>
      <c r="I30" s="16" t="n"/>
      <c r="J30" s="16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2" t="inlineStr">
        <is>
          <t>E-26</t>
        </is>
      </c>
      <c r="B31" s="16" t="n"/>
      <c r="C31" s="16" t="n"/>
      <c r="D31" s="16" t="n"/>
      <c r="E31" s="16" t="n"/>
      <c r="F31" s="40" t="n"/>
      <c r="G31" s="16" t="n"/>
      <c r="H31" s="16" t="n"/>
      <c r="I31" s="16" t="n"/>
      <c r="J31" s="16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2" t="inlineStr">
        <is>
          <t>E-27</t>
        </is>
      </c>
      <c r="B32" s="16" t="n"/>
      <c r="C32" s="16" t="n"/>
      <c r="D32" s="16" t="n"/>
      <c r="E32" s="16" t="n"/>
      <c r="F32" s="40" t="n"/>
      <c r="G32" s="16" t="n"/>
      <c r="H32" s="16" t="n"/>
      <c r="I32" s="16" t="n"/>
      <c r="J32" s="16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2" t="inlineStr">
        <is>
          <t>E-28</t>
        </is>
      </c>
      <c r="B33" s="16" t="n"/>
      <c r="C33" s="16" t="n"/>
      <c r="D33" s="16" t="n"/>
      <c r="E33" s="16" t="n"/>
      <c r="F33" s="40" t="n"/>
      <c r="G33" s="16" t="n"/>
      <c r="H33" s="16" t="n"/>
      <c r="I33" s="16" t="n"/>
      <c r="J33" s="16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2" t="inlineStr">
        <is>
          <t>E-29</t>
        </is>
      </c>
      <c r="B34" s="16" t="n"/>
      <c r="C34" s="16" t="n"/>
      <c r="D34" s="16" t="n"/>
      <c r="E34" s="16" t="n"/>
      <c r="F34" s="40" t="n"/>
      <c r="G34" s="16" t="n"/>
      <c r="H34" s="16" t="n"/>
      <c r="I34" s="16" t="n"/>
      <c r="J34" s="16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2" t="inlineStr">
        <is>
          <t>E-30</t>
        </is>
      </c>
      <c r="B35" s="16" t="n"/>
      <c r="C35" s="16" t="n"/>
      <c r="D35" s="16" t="n"/>
      <c r="E35" s="16" t="n"/>
      <c r="F35" s="40" t="n"/>
      <c r="G35" s="16" t="n"/>
      <c r="H35" s="16" t="n"/>
      <c r="I35" s="16" t="n"/>
      <c r="J35" s="16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dataValidations count="3">
    <dataValidation sqref="B6:B35" showDropDown="0" showInputMessage="0" showErrorMessage="0" allowBlank="0" type="list">
      <formula1>"A,B,C,全组"</formula1>
    </dataValidation>
    <dataValidation sqref="D6:D35" showDropDown="0" showInputMessage="0" showErrorMessage="0" allowBlank="0" type="list">
      <formula1>"日志,截图,录屏,JSON,测试输出,评测表,PR"</formula1>
    </dataValidation>
    <dataValidation sqref="G6:G35" showDropDown="0" showInputMessage="0" showErrorMessage="0" allowBlank="0" type="list">
      <formula1>"未检查,通过,退回"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2.5" customWidth="1" min="1" max="1"/>
    <col width="25" customWidth="1" min="2" max="2"/>
    <col width="16.25" customWidth="1" min="3" max="3"/>
    <col width="37.5" customWidth="1" min="4" max="4"/>
    <col width="18.75" customWidth="1" min="5" max="5"/>
    <col width="15" customWidth="1" min="6" max="6"/>
  </cols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27" t="n"/>
      <c r="Y1" s="27" t="n"/>
      <c r="Z1" s="27" t="n"/>
      <c r="AA1" s="27" t="n"/>
      <c r="AB1" s="27" t="n"/>
    </row>
    <row r="2">
      <c r="A2" s="34" t="inlineStr">
        <is>
          <t>第一周验收总览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27" t="n"/>
      <c r="Y2" s="27" t="n"/>
      <c r="Z2" s="27" t="n"/>
      <c r="AA2" s="27" t="n"/>
      <c r="AB2" s="27" t="n"/>
    </row>
    <row r="3">
      <c r="A3" s="35" t="inlineStr">
        <is>
          <t>截至2026年9月20日23:59。Excel由C单人提交并据角色进度文件回填；本页自动汇总，避免多人并发编辑二进制文件。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27" t="n"/>
      <c r="Y3" s="27" t="n"/>
      <c r="Z3" s="27" t="n"/>
      <c r="AA3" s="27" t="n"/>
      <c r="AB3" s="27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27" t="n"/>
      <c r="Y4" s="27" t="n"/>
      <c r="Z4" s="27" t="n"/>
      <c r="AA4" s="27" t="n"/>
      <c r="AB4" s="27" t="n"/>
    </row>
    <row r="5">
      <c r="A5" s="9" t="inlineStr">
        <is>
          <t>角色</t>
        </is>
      </c>
      <c r="B5" s="9" t="inlineStr">
        <is>
          <t>验收项</t>
        </is>
      </c>
      <c r="C5" s="9" t="inlineStr">
        <is>
          <t>通过</t>
        </is>
      </c>
      <c r="D5" s="9" t="inlineStr">
        <is>
          <t>未达标或退回</t>
        </is>
      </c>
      <c r="E5" s="9" t="inlineStr">
        <is>
          <t>待填写或待接收</t>
        </is>
      </c>
      <c r="F5" s="9" t="inlineStr">
        <is>
          <t>完成率</t>
        </is>
      </c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27" t="n"/>
      <c r="Y5" s="27" t="n"/>
      <c r="Z5" s="27" t="n"/>
      <c r="AA5" s="27" t="n"/>
      <c r="AB5" s="27" t="n"/>
    </row>
    <row r="6">
      <c r="A6" s="12" t="inlineStr">
        <is>
          <t>A</t>
        </is>
      </c>
      <c r="B6" s="12">
        <f>COUNTA('A验收'!A6:A18)</f>
        <v/>
      </c>
      <c r="C6" s="12">
        <f>COUNTIF('A验收'!N6:N18,"通过")</f>
        <v/>
      </c>
      <c r="D6" s="12">
        <f>COUNTIF('A验收'!N6:N18,"未达标")+COUNTIF('A验收'!N6:N18,"退回")</f>
        <v/>
      </c>
      <c r="E6" s="12">
        <f>B6-C6-D6</f>
        <v/>
      </c>
      <c r="F6" s="43">
        <f>IF(B6=0,0,C6/B6)</f>
        <v/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27" t="n"/>
      <c r="Y6" s="27" t="n"/>
      <c r="Z6" s="27" t="n"/>
      <c r="AA6" s="27" t="n"/>
      <c r="AB6" s="27" t="n"/>
    </row>
    <row r="7">
      <c r="A7" s="12" t="inlineStr">
        <is>
          <t>B</t>
        </is>
      </c>
      <c r="B7" s="12">
        <f>COUNTA('B验收'!A6:A23)</f>
        <v/>
      </c>
      <c r="C7" s="12">
        <f>COUNTIF('B验收'!N6:N23,"通过")</f>
        <v/>
      </c>
      <c r="D7" s="12">
        <f>COUNTIF('B验收'!N6:N23,"未达标")+COUNTIF('B验收'!N6:N23,"退回")</f>
        <v/>
      </c>
      <c r="E7" s="12">
        <f>B7-C7-D7</f>
        <v/>
      </c>
      <c r="F7" s="43">
        <f>IF(B7=0,0,C7/B7)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27" t="n"/>
      <c r="Y7" s="27" t="n"/>
      <c r="Z7" s="27" t="n"/>
      <c r="AA7" s="27" t="n"/>
      <c r="AB7" s="27" t="n"/>
    </row>
    <row r="8">
      <c r="A8" s="12" t="inlineStr">
        <is>
          <t>C</t>
        </is>
      </c>
      <c r="B8" s="12">
        <f>COUNTA('C验收'!A6:A27)</f>
        <v/>
      </c>
      <c r="C8" s="12">
        <f>COUNTIF('C验收'!N6:N27,"通过")</f>
        <v/>
      </c>
      <c r="D8" s="12">
        <f>COUNTIF('C验收'!N6:N27,"未达标")+COUNTIF('C验收'!N6:N27,"退回")</f>
        <v/>
      </c>
      <c r="E8" s="12">
        <f>B8-C8-D8</f>
        <v/>
      </c>
      <c r="F8" s="43">
        <f>IF(B8=0,0,C8/B8)</f>
        <v/>
      </c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27" t="n"/>
      <c r="Y8" s="27" t="n"/>
      <c r="Z8" s="27" t="n"/>
      <c r="AA8" s="27" t="n"/>
      <c r="AB8" s="27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27" t="n"/>
      <c r="Y9" s="27" t="n"/>
      <c r="Z9" s="27" t="n"/>
      <c r="AA9" s="27" t="n"/>
      <c r="AB9" s="27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7" t="n"/>
      <c r="Y10" s="27" t="n"/>
      <c r="Z10" s="27" t="n"/>
      <c r="AA10" s="27" t="n"/>
      <c r="AB10" s="27" t="n"/>
    </row>
    <row r="11">
      <c r="A11" s="9" t="inlineStr">
        <is>
          <t>P0验收门</t>
        </is>
      </c>
      <c r="B11" s="9" t="inlineStr">
        <is>
          <t>来源</t>
        </is>
      </c>
      <c r="C11" s="9" t="inlineStr">
        <is>
          <t>当前状态</t>
        </is>
      </c>
      <c r="D11" s="9" t="inlineStr">
        <is>
          <t>说明</t>
        </is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27" t="n"/>
      <c r="Y11" s="27" t="n"/>
      <c r="Z11" s="27" t="n"/>
      <c r="AA11" s="27" t="n"/>
      <c r="AB11" s="27" t="n"/>
    </row>
    <row r="12">
      <c r="A12" s="12" t="inlineStr">
        <is>
          <t>100篇状态台账</t>
        </is>
      </c>
      <c r="B12" s="12" t="inlineStr">
        <is>
          <t>A-01/A-02</t>
        </is>
      </c>
      <c r="C12" s="12">
        <f>IF(AND('A验收'!N6="通过",'A验收'!N7="通过"),"通过","未完成")</f>
        <v/>
      </c>
      <c r="D12" s="12" t="inlineStr">
        <is>
          <t>缺失或失败项必须有原因</t>
        </is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7" t="n"/>
      <c r="Y12" s="27" t="n"/>
      <c r="Z12" s="27" t="n"/>
      <c r="AA12" s="27" t="n"/>
      <c r="AB12" s="27" t="n"/>
    </row>
    <row r="13">
      <c r="A13" s="12" t="inlineStr">
        <is>
          <t>5篇纵向主链</t>
        </is>
      </c>
      <c r="B13" s="12" t="inlineStr">
        <is>
          <t>C-05</t>
        </is>
      </c>
      <c r="C13" s="12">
        <f>IF('C验收'!N10="通过","通过","未完成")</f>
        <v/>
      </c>
      <c r="D13" s="12" t="inlineStr">
        <is>
          <t>采集到证据详情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7" t="n"/>
      <c r="Y13" s="27" t="n"/>
      <c r="Z13" s="27" t="n"/>
      <c r="AA13" s="27" t="n"/>
      <c r="AB13" s="27" t="n"/>
    </row>
    <row r="14">
      <c r="A14" s="12" t="inlineStr">
        <is>
          <t>20张同样本评测</t>
        </is>
      </c>
      <c r="B14" s="12" t="inlineStr">
        <is>
          <t>B-01/B-10/B-11</t>
        </is>
      </c>
      <c r="C14" s="12">
        <f>IF(AND('B验收'!N6="通过",'B验收'!N7="通过",'B验收'!N10="通过",'B验收'!N11="通过",'B验收'!N12="通过",'B验收'!N13="通过",'B验收'!N14="通过",'B验收'!N15="通过",'B验收'!N16="通过",'B验收'!N17="通过",'B验收'!N20="通过",'B验收'!N21="通过"),"通过","未完成")</f>
        <v/>
      </c>
      <c r="D14" s="12" t="inlineStr">
        <is>
          <t>五字段分别核对，20样本同批且启用结论可追溯</t>
        </is>
      </c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27" t="n"/>
      <c r="Y14" s="27" t="n"/>
      <c r="Z14" s="27" t="n"/>
      <c r="AA14" s="27" t="n"/>
      <c r="AB14" s="27" t="n"/>
    </row>
    <row r="15">
      <c r="A15" s="12" t="inlineStr">
        <is>
          <t>查询小于1秒</t>
        </is>
      </c>
      <c r="B15" s="12" t="inlineStr">
        <is>
          <t>C-10/C-11/C-12</t>
        </is>
      </c>
      <c r="C15" s="12">
        <f>IF(AND('C验收'!N15="通过",'C验收'!N16="通过",'C验收'!N17="通过"),"通过","未完成")</f>
        <v/>
      </c>
      <c r="D15" s="12" t="inlineStr">
        <is>
          <t>100行夹具至少30次</t>
        </is>
      </c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7" t="n"/>
      <c r="Y15" s="27" t="n"/>
      <c r="Z15" s="27" t="n"/>
      <c r="AA15" s="27" t="n"/>
      <c r="AB15" s="27" t="n"/>
    </row>
    <row r="16">
      <c r="A16" s="12" t="inlineStr">
        <is>
          <t>Scheduler增量同步</t>
        </is>
      </c>
      <c r="B16" s="12" t="inlineStr">
        <is>
          <t>A-12/A-13</t>
        </is>
      </c>
      <c r="C16" s="12">
        <f>IF(AND('A验收'!N17="通过",'A验收'!N18="通过"),"通过","未完成")</f>
        <v/>
      </c>
      <c r="D16" s="12" t="inlineStr">
        <is>
          <t>调度、锁、游标与状态均可复现</t>
        </is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27" t="n"/>
      <c r="Y16" s="27" t="n"/>
      <c r="Z16" s="27" t="n"/>
      <c r="AA16" s="27" t="n"/>
      <c r="AB16" s="27" t="n"/>
    </row>
    <row r="17" ht="24" customHeight="1">
      <c r="A17" s="12" t="inlineStr">
        <is>
          <t>React前端与部署检查</t>
        </is>
      </c>
      <c r="B17" s="12" t="inlineStr">
        <is>
          <t>C-17/C-18</t>
        </is>
      </c>
      <c r="C17" s="12">
        <f>IF(AND('C验收'!N22="通过",'C验收'!N23="通过"),"通过","未完成")</f>
        <v/>
      </c>
      <c r="D17" s="12" t="inlineStr">
        <is>
          <t>React/Vite可运行，LAN健康检查和云端HTTPS清单有证据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7" t="n"/>
      <c r="Y17" s="27" t="n"/>
      <c r="Z17" s="27" t="n"/>
      <c r="AA17" s="27" t="n"/>
      <c r="AB17" s="27" t="n"/>
    </row>
    <row r="18" ht="24" customHeight="1">
      <c r="A18" s="12" t="inlineStr">
        <is>
          <t>三角色权限与带引用回答</t>
        </is>
      </c>
      <c r="B18" s="12" t="inlineStr">
        <is>
          <t>C-19/C-20</t>
        </is>
      </c>
      <c r="C18" s="12">
        <f>IF(AND('C验收'!N24="通过",'C验收'!N25="通过"),"通过","未完成")</f>
        <v/>
      </c>
      <c r="D18" s="12" t="inlineStr">
        <is>
          <t>服务端权限和三条检索路径；第一周无Embedding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27" t="n"/>
      <c r="Y18" s="27" t="n"/>
      <c r="Z18" s="27" t="n"/>
      <c r="AA18" s="27" t="n"/>
      <c r="AB18" s="27" t="n"/>
    </row>
    <row r="19">
      <c r="A19" s="12" t="inlineStr">
        <is>
          <t>移动端与局域网灾备</t>
        </is>
      </c>
      <c r="B19" s="12" t="inlineStr">
        <is>
          <t>C-13/C-21/C-22</t>
        </is>
      </c>
      <c r="C19" s="12">
        <f>IF(AND('C验收'!N18="通过",'C验收'!N26="通过",'C验收'!N27="通过"),"通过","未完成")</f>
        <v/>
      </c>
      <c r="D19" s="12" t="inlineStr">
        <is>
          <t>两种视口及另一设备复测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27" t="n"/>
      <c r="Y19" s="27" t="n"/>
      <c r="Z19" s="27" t="n"/>
      <c r="AA19" s="27" t="n"/>
      <c r="AB19" s="27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7" t="n"/>
      <c r="Y20" s="27" t="n"/>
      <c r="Z20" s="27" t="n"/>
      <c r="AA20" s="27" t="n"/>
      <c r="AB20" s="27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7" t="n"/>
      <c r="Y21" s="27" t="n"/>
      <c r="Z21" s="27" t="n"/>
      <c r="AA21" s="27" t="n"/>
      <c r="AB21" s="27" t="n"/>
    </row>
    <row r="22">
      <c r="A22" s="9" t="inlineStr">
        <is>
          <t>填写规则</t>
        </is>
      </c>
      <c r="B22" s="9" t="inlineStr">
        <is>
          <t>要求</t>
        </is>
      </c>
      <c r="C22" s="9" t="inlineStr">
        <is>
          <t>负责人</t>
        </is>
      </c>
      <c r="D22" s="9" t="inlineStr">
        <is>
          <t>截止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7" t="n"/>
      <c r="Y22" s="27" t="n"/>
      <c r="Z22" s="27" t="n"/>
      <c r="AA22" s="27" t="n"/>
      <c r="AB22" s="27" t="n"/>
    </row>
    <row r="23">
      <c r="A23" s="12" t="inlineStr">
        <is>
          <t>实际值</t>
        </is>
      </c>
      <c r="B23" s="12" t="inlineStr">
        <is>
          <t>不填计划数，不把历史基线当本周实绩</t>
        </is>
      </c>
      <c r="C23" s="12" t="inlineStr">
        <is>
          <t>角色记录，C回填</t>
        </is>
      </c>
      <c r="D23" s="12" t="inlineStr">
        <is>
          <t>完成测试后立即</t>
        </is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7" t="n"/>
      <c r="Y23" s="27" t="n"/>
      <c r="Z23" s="27" t="n"/>
      <c r="AA23" s="27" t="n"/>
      <c r="AB23" s="27" t="n"/>
    </row>
    <row r="24">
      <c r="A24" s="12" t="inlineStr">
        <is>
          <t>证据</t>
        </is>
      </c>
      <c r="B24" s="12" t="inlineStr">
        <is>
          <t>角色文件登记相对路径、PR或链接，C回填</t>
        </is>
      </c>
      <c r="C24" s="12" t="inlineStr">
        <is>
          <t>角色记录，C回填</t>
        </is>
      </c>
      <c r="D24" s="12" t="inlineStr">
        <is>
          <t>与实际值同时</t>
        </is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7" t="n"/>
      <c r="Y24" s="27" t="n"/>
      <c r="Z24" s="27" t="n"/>
      <c r="AA24" s="27" t="n"/>
      <c r="AB24" s="27" t="n"/>
    </row>
    <row r="25">
      <c r="A25" s="12" t="inlineStr">
        <is>
          <t>接收确认</t>
        </is>
      </c>
      <c r="B25" s="12" t="inlineStr">
        <is>
          <t>接收方拉取指定commit并复测</t>
        </is>
      </c>
      <c r="C25" s="12" t="inlineStr">
        <is>
          <t>接收人</t>
        </is>
      </c>
      <c r="D25" s="12" t="inlineStr">
        <is>
          <t>交付后4小时内</t>
        </is>
      </c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7" t="n"/>
      <c r="Y25" s="27" t="n"/>
      <c r="Z25" s="27" t="n"/>
      <c r="AA25" s="27" t="n"/>
      <c r="AB25" s="27" t="n"/>
    </row>
    <row r="26">
      <c r="A26" s="12" t="inlineStr">
        <is>
          <t>退回</t>
        </is>
      </c>
      <c r="B26" s="12" t="inlineStr">
        <is>
          <t>写清字段、命令输出和修复要求</t>
        </is>
      </c>
      <c r="C26" s="12" t="inlineStr">
        <is>
          <t>接收人</t>
        </is>
      </c>
      <c r="D26" s="12" t="inlineStr">
        <is>
          <t>发现问题当日</t>
        </is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7" t="n"/>
      <c r="Y26" s="27" t="n"/>
      <c r="Z26" s="27" t="n"/>
      <c r="AA26" s="27" t="n"/>
      <c r="AB26" s="27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7" t="n"/>
      <c r="Y27" s="27" t="n"/>
      <c r="Z27" s="27" t="n"/>
      <c r="AA27" s="27" t="n"/>
      <c r="AB27" s="27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7" t="n"/>
      <c r="Y28" s="27" t="n"/>
      <c r="Z28" s="27" t="n"/>
      <c r="AA28" s="27" t="n"/>
      <c r="AB28" s="27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7" t="n"/>
      <c r="Y29" s="27" t="n"/>
      <c r="Z29" s="27" t="n"/>
      <c r="AA29" s="27" t="n"/>
      <c r="AB29" s="27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7" t="n"/>
      <c r="Y30" s="27" t="n"/>
      <c r="Z30" s="27" t="n"/>
      <c r="AA30" s="27" t="n"/>
      <c r="AB30" s="27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7" t="n"/>
      <c r="Y31" s="27" t="n"/>
      <c r="Z31" s="27" t="n"/>
      <c r="AA31" s="27" t="n"/>
      <c r="AB31" s="27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7" t="n"/>
      <c r="Y32" s="27" t="n"/>
      <c r="Z32" s="27" t="n"/>
      <c r="AA32" s="27" t="n"/>
      <c r="AB32" s="27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7" t="n"/>
      <c r="Y33" s="27" t="n"/>
      <c r="Z33" s="27" t="n"/>
      <c r="AA33" s="27" t="n"/>
      <c r="AB33" s="27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7" t="n"/>
      <c r="Y34" s="27" t="n"/>
      <c r="Z34" s="27" t="n"/>
      <c r="AA34" s="27" t="n"/>
      <c r="AB34" s="27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7" t="n"/>
      <c r="Y35" s="27" t="n"/>
      <c r="Z35" s="27" t="n"/>
      <c r="AA35" s="27" t="n"/>
      <c r="AB35" s="27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7" t="n"/>
      <c r="Y36" s="27" t="n"/>
      <c r="Z36" s="27" t="n"/>
      <c r="AA36" s="27" t="n"/>
      <c r="AB36" s="27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7" t="n"/>
      <c r="Y37" s="27" t="n"/>
      <c r="Z37" s="27" t="n"/>
      <c r="AA37" s="27" t="n"/>
      <c r="AB37" s="27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7" t="n"/>
      <c r="Y38" s="27" t="n"/>
      <c r="Z38" s="27" t="n"/>
      <c r="AA38" s="27" t="n"/>
      <c r="AB38" s="27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7" t="n"/>
      <c r="Y39" s="27" t="n"/>
      <c r="Z39" s="27" t="n"/>
      <c r="AA39" s="27" t="n"/>
      <c r="AB39" s="27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7" t="n"/>
      <c r="Y40" s="27" t="n"/>
      <c r="Z40" s="27" t="n"/>
      <c r="AA40" s="27" t="n"/>
      <c r="AB40" s="27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7" t="n"/>
      <c r="Y41" s="27" t="n"/>
      <c r="Z41" s="27" t="n"/>
      <c r="AA41" s="27" t="n"/>
      <c r="AB41" s="27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7" t="n"/>
      <c r="Y42" s="27" t="n"/>
      <c r="Z42" s="27" t="n"/>
      <c r="AA42" s="27" t="n"/>
      <c r="AB42" s="27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7" t="n"/>
      <c r="Y43" s="27" t="n"/>
      <c r="Z43" s="27" t="n"/>
      <c r="AA43" s="27" t="n"/>
      <c r="AB43" s="27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7" t="n"/>
      <c r="Y44" s="27" t="n"/>
      <c r="Z44" s="27" t="n"/>
      <c r="AA44" s="27" t="n"/>
      <c r="AB44" s="27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27" t="n"/>
      <c r="Y45" s="27" t="n"/>
      <c r="Z45" s="27" t="n"/>
      <c r="AA45" s="27" t="n"/>
      <c r="AB45" s="27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7" t="n"/>
      <c r="Y46" s="27" t="n"/>
      <c r="Z46" s="27" t="n"/>
      <c r="AA46" s="27" t="n"/>
      <c r="AB46" s="27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7" t="n"/>
      <c r="Y47" s="27" t="n"/>
      <c r="Z47" s="27" t="n"/>
      <c r="AA47" s="27" t="n"/>
      <c r="AB47" s="27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7" t="n"/>
      <c r="Y48" s="27" t="n"/>
      <c r="Z48" s="27" t="n"/>
      <c r="AA48" s="27" t="n"/>
      <c r="AB48" s="27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7" t="n"/>
      <c r="Y49" s="27" t="n"/>
      <c r="Z49" s="27" t="n"/>
      <c r="AA49" s="27" t="n"/>
      <c r="AB49" s="27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27" t="n"/>
      <c r="Y50" s="27" t="n"/>
      <c r="Z50" s="27" t="n"/>
      <c r="AA50" s="27" t="n"/>
      <c r="AB50" s="2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7" t="n"/>
      <c r="Y51" s="27" t="n"/>
      <c r="Z51" s="27" t="n"/>
      <c r="AA51" s="27" t="n"/>
      <c r="AB51" s="27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7" t="n"/>
      <c r="Y52" s="27" t="n"/>
      <c r="Z52" s="27" t="n"/>
      <c r="AA52" s="27" t="n"/>
      <c r="AB52" s="27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7" t="n"/>
      <c r="Y53" s="27" t="n"/>
      <c r="Z53" s="27" t="n"/>
      <c r="AA53" s="27" t="n"/>
      <c r="AB53" s="27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7" t="n"/>
      <c r="Y54" s="27" t="n"/>
      <c r="Z54" s="27" t="n"/>
      <c r="AA54" s="27" t="n"/>
      <c r="AB54" s="27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7" t="n"/>
      <c r="Y55" s="27" t="n"/>
      <c r="Z55" s="27" t="n"/>
      <c r="AA55" s="27" t="n"/>
      <c r="AB55" s="27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7" t="n"/>
      <c r="Y56" s="27" t="n"/>
      <c r="Z56" s="27" t="n"/>
      <c r="AA56" s="27" t="n"/>
      <c r="AB56" s="27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7" t="n"/>
      <c r="Y57" s="27" t="n"/>
      <c r="Z57" s="27" t="n"/>
      <c r="AA57" s="27" t="n"/>
      <c r="AB57" s="27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7" t="n"/>
      <c r="Y58" s="27" t="n"/>
      <c r="Z58" s="27" t="n"/>
      <c r="AA58" s="27" t="n"/>
      <c r="AB58" s="27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7" t="n"/>
      <c r="Y59" s="27" t="n"/>
      <c r="Z59" s="27" t="n"/>
      <c r="AA59" s="27" t="n"/>
      <c r="AB59" s="27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7" t="n"/>
      <c r="Y60" s="27" t="n"/>
      <c r="Z60" s="27" t="n"/>
      <c r="AA60" s="27" t="n"/>
      <c r="AB60" s="27" t="n"/>
    </row>
  </sheetData>
  <conditionalFormatting sqref="F6:F8">
    <cfRule type="dataBar" priority="1">
      <dataBar>
        <cfvo type="min"/>
        <cfvo type="max"/>
        <color rgb="FF5B9BD5"/>
      </dataBar>
    </cfRule>
  </conditionalFormatting>
  <conditionalFormatting sqref="C12:C19">
    <cfRule type="containsText" priority="2" operator="containsText" dxfId="0" text="通过"/>
    <cfRule type="containsText" priority="3" operator="containsText" dxfId="1" text="未完成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2026-09-19T14:24:11Z</dcterms:created>
  <dcterms:modified xsi:type="dcterms:W3CDTF">2026-09-20T16:32:24Z</dcterms:modified>
</cp:coreProperties>
</file>