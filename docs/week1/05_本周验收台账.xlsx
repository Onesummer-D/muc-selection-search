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59cad512142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验收" sheetId="1" r:id="R5e96ee7b7d8d4ef9"/>
    <x:sheet xmlns:r="http://schemas.openxmlformats.org/officeDocument/2006/relationships" name="B验收" sheetId="2" r:id="Rd7e6fa04ec7d4c33"/>
    <x:sheet xmlns:r="http://schemas.openxmlformats.org/officeDocument/2006/relationships" name="C验收" sheetId="3" r:id="Raeab5ad31af342bf"/>
    <x:sheet xmlns:r="http://schemas.openxmlformats.org/officeDocument/2006/relationships" name="协作交接" sheetId="4" r:id="R32d0eeb9d36d4585"/>
    <x:sheet xmlns:r="http://schemas.openxmlformats.org/officeDocument/2006/relationships" name="20样本评测" sheetId="5" r:id="R9068e0fac1b74fd7"/>
    <x:sheet xmlns:r="http://schemas.openxmlformats.org/officeDocument/2006/relationships" name="证据索引" sheetId="6" r:id="R28ef797d9bd941e5"/>
    <x:sheet xmlns:r="http://schemas.openxmlformats.org/officeDocument/2006/relationships" name="总览" sheetId="7" r:id="Raf9a775e48104b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"/>
    <x:numFmt numFmtId="201" formatCode="0.0"/>
    <x:numFmt numFmtId="202" formatCode="0.0%"/>
    <x:numFmt numFmtId="203" formatCode="0.00"/>
    <x:numFmt numFmtId="204" formatCode="0%"/>
  </x:numFmts>
  <x:fonts count="5">
    <x:font>
      <x:sz val="11"/>
      <x:name val="Carlito"/>
    </x:font>
    <x:font>
      <x:sz val="10"/>
      <x:color rgb="FF1F2937"/>
      <x:name val="Microsoft YaHei"/>
    </x:font>
    <x:font>
      <x:b/>
      <x:sz val="15"/>
      <x:color rgb="FF000000"/>
      <x:name val="Microsoft YaHei"/>
    </x:font>
    <x:font>
      <x:i/>
      <x:sz val="10"/>
      <x:color rgb="FF4B5563"/>
      <x:name val="Microsoft YaHei"/>
    </x:font>
    <x:font>
      <x:b/>
      <x:sz val="10"/>
      <x:color rgb="FFFFFFFF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5F7FA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1" fontId="1" fillId="3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center" vertical="center" wrapText="1"/>
    </x:xf>
    <x:xf numFmtId="201" fontId="1" fillId="3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200" fontId="1" fillId="3" borderId="1" xfId="0" applyNumberFormat="1" applyFont="1" applyFill="1" applyBorder="1" applyAlignment="1">
      <x:alignment vertical="center" wrapText="1"/>
    </x:xf>
    <x:xf numFmtId="202" fontId="1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203" fontId="1" fillId="3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204" fontId="1" fillId="0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6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color rgb="FF9C0006"/>
      </x:font>
      <x:fill>
        <x:patternFill patternType="solid">
          <x:bgColor rgb="FFFCE8E6"/>
        </x:patternFill>
      </x:fill>
    </x:dxf>
    <x:dxf>
      <x:font>
        <x:color rgb="FF9C0006"/>
      </x:font>
      <x:fill>
        <x:patternFill patternType="solid">
          <x:bgColor rgb="FFFCE8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c0af5a0cf94031" /><Relationship Type="http://schemas.openxmlformats.org/officeDocument/2006/relationships/theme" Target="/xl/theme/theme1.xml" Id="R94282cd52d2b4aea" /><Relationship Type="http://schemas.openxmlformats.org/officeDocument/2006/relationships/sharedStrings" Target="/xl/sharedStrings.xml" Id="Ra0239f64ed3f405d" /><Relationship Type="http://schemas.openxmlformats.org/officeDocument/2006/relationships/worksheet" Target="/xl/worksheets/sheet1.xml" Id="R5e96ee7b7d8d4ef9" /><Relationship Type="http://schemas.openxmlformats.org/officeDocument/2006/relationships/worksheet" Target="/xl/worksheets/sheet2.xml" Id="Rd7e6fa04ec7d4c33" /><Relationship Type="http://schemas.openxmlformats.org/officeDocument/2006/relationships/worksheet" Target="/xl/worksheets/sheet3.xml" Id="Raeab5ad31af342bf" /><Relationship Type="http://schemas.openxmlformats.org/officeDocument/2006/relationships/worksheet" Target="/xl/worksheets/sheet4.xml" Id="R32d0eeb9d36d4585" /><Relationship Type="http://schemas.openxmlformats.org/officeDocument/2006/relationships/worksheet" Target="/xl/worksheets/sheet5.xml" Id="R9068e0fac1b74fd7" /><Relationship Type="http://schemas.openxmlformats.org/officeDocument/2006/relationships/worksheet" Target="/xl/worksheets/sheet6.xml" Id="R28ef797d9bd941e5" /><Relationship Type="http://schemas.openxmlformats.org/officeDocument/2006/relationships/worksheet" Target="/xl/worksheets/sheet7.xml" Id="Raf9a775e48104b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15.630000114440918" hidden="0" customWidth="1"/>
    <x:col min="3" max="3" width="21.8799991607666" hidden="0" customWidth="1"/>
    <x:col min="4" max="4" width="35" hidden="0" customWidth="1"/>
    <x:col min="5" max="5" width="9" hidden="0" customWidth="1"/>
    <x:col min="6" max="6" width="6.880000114440918" hidden="0" customWidth="1"/>
    <x:col min="7" max="7" width="9" hidden="0" customWidth="1"/>
    <x:col min="8" max="8" width="9" hidden="0" customWidth="1"/>
    <x:col min="9" max="9" width="9" hidden="0" customWidth="1"/>
    <x:col min="10" max="10" width="25" hidden="0" customWidth="1"/>
    <x:col min="11" max="11" width="18.75" hidden="0" customWidth="1"/>
    <x:col min="12" max="12" width="7.75" hidden="0" customWidth="1"/>
    <x:col min="13" max="13" width="10" hidden="0" customWidth="1"/>
    <x:col min="14" max="14" width="10.25" hidden="0" customWidth="1"/>
    <x:col min="15" max="15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角色 A 验收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黄色单元格由C依据角色进度文件或PR清单回填。状态必须同时有实际值、证据、Commit/PR和接收确认；主文件由C单写。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项目ID</x:v>
      </x:c>
      <x:c r="B5" s="9" t="str">
        <x:v>截止时间</x:v>
      </x:c>
      <x:c r="C5" s="9" t="str">
        <x:v>验收项</x:v>
      </x:c>
      <x:c r="D5" s="9" t="str">
        <x:v>目标或通过条件</x:v>
      </x:c>
      <x:c r="E5" s="9" t="str">
        <x:v>指标类型</x:v>
      </x:c>
      <x:c r="F5" s="9" t="str">
        <x:v>比较符</x:v>
      </x:c>
      <x:c r="G5" s="9" t="str">
        <x:v>目标值</x:v>
      </x:c>
      <x:c r="H5" s="9" t="str">
        <x:v>实际值</x:v>
      </x:c>
      <x:c r="I5" s="9" t="str">
        <x:v>单位</x:v>
      </x:c>
      <x:c r="J5" s="9" t="str">
        <x:v>证据路径或链接</x:v>
      </x:c>
      <x:c r="K5" s="9" t="str">
        <x:v>Commit或PR</x:v>
      </x:c>
      <x:c r="L5" s="9" t="str">
        <x:v>接收人</x:v>
      </x:c>
      <x:c r="M5" s="9" t="str">
        <x:v>接收确认</x:v>
      </x:c>
      <x:c r="N5" s="9" t="str">
        <x:v>状态</x:v>
      </x:c>
      <x:c r="O5" s="9" t="str">
        <x:v>备注或阻塞</x:v>
      </x:c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 ht="33" customHeight="1">
      <x:c r="A6" s="18" t="str">
        <x:v>A-01</x:v>
      </x:c>
      <x:c r="B6" s="19" t="n">
        <x:v>46283.916666666664</x:v>
      </x:c>
      <x:c r="C6" s="12" t="str">
        <x:v>目标文章状态台账</x:v>
      </x:c>
      <x:c r="D6" s="12" t="str">
        <x:v>目标清单中的文章全部登记；目标数为100，实际不足须说明缺口</x:v>
      </x:c>
      <x:c r="E6" s="18" t="str">
        <x:v>数值</x:v>
      </x:c>
      <x:c r="F6" s="18" t="str">
        <x:v>&gt;=</x:v>
      </x:c>
      <x:c r="G6" s="20" t="n">
        <x:v>100</x:v>
      </x:c>
      <x:c r="H6" s="21"/>
      <x:c r="I6" s="18" t="str">
        <x:v>篇</x:v>
      </x:c>
      <x:c r="J6" s="16"/>
      <x:c r="K6" s="16"/>
      <x:c r="L6" s="18" t="str">
        <x:v>C</x:v>
      </x:c>
      <x:c r="M6" s="22"/>
      <x:c r="N6" s="23" t="str">
        <x: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x:f>
        <x:v>待填写</x:v>
      </x:c>
      <x:c r="O6" s="16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 ht="33" customHeight="1">
      <x:c r="A7" s="18" t="str">
        <x:v>A-02</x:v>
      </x:c>
      <x:c r="B7" s="19" t="n">
        <x:v>46283.916666666664</x:v>
      </x:c>
      <x:c r="C7" s="12" t="str">
        <x:v>状态与失败原因覆盖率</x:v>
      </x:c>
      <x:c r="D7" s="12" t="str">
        <x:v>每篇都有状态；failed必须有原因</x:v>
      </x:c>
      <x:c r="E7" s="18" t="str">
        <x:v>数值</x:v>
      </x:c>
      <x:c r="F7" s="18" t="str">
        <x:v>&gt;=</x:v>
      </x:c>
      <x:c r="G7" s="20" t="n">
        <x:v>100</x:v>
      </x:c>
      <x:c r="H7" s="21"/>
      <x:c r="I7" s="18" t="str">
        <x:v>%</x:v>
      </x:c>
      <x:c r="J7" s="16"/>
      <x:c r="K7" s="16"/>
      <x:c r="L7" s="18" t="str">
        <x:v>C</x:v>
      </x:c>
      <x:c r="M7" s="22"/>
      <x:c r="N7" s="23" t="str">
        <x: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x:f>
        <x:v>待填写</x:v>
      </x:c>
      <x:c r="O7" s="16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 ht="33" customHeight="1">
      <x:c r="A8" s="18" t="str">
        <x:v>A-03</x:v>
      </x:c>
      <x:c r="B8" s="19" t="n">
        <x:v>46282.916666666664</x:v>
      </x:c>
      <x:c r="C8" s="12" t="str">
        <x:v>固定样本数量</x:v>
      </x:c>
      <x:c r="D8" s="12" t="str">
        <x:v>优先2文本、2海报、1多人或混合；不足时写明真实构成</x:v>
      </x:c>
      <x:c r="E8" s="18" t="str">
        <x:v>数值</x:v>
      </x:c>
      <x:c r="F8" s="18" t="str">
        <x:v>&gt;=</x:v>
      </x:c>
      <x:c r="G8" s="20" t="n">
        <x:v>5</x:v>
      </x:c>
      <x:c r="H8" s="21"/>
      <x:c r="I8" s="18" t="str">
        <x:v>篇</x:v>
      </x:c>
      <x:c r="J8" s="16"/>
      <x:c r="K8" s="16"/>
      <x:c r="L8" s="18" t="str">
        <x:v>B/C</x:v>
      </x:c>
      <x:c r="M8" s="22"/>
      <x:c r="N8" s="23" t="str">
        <x: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x:f>
        <x:v>待填写</x:v>
      </x:c>
      <x:c r="O8" s="16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 ht="33" customHeight="1">
      <x:c r="A9" s="18" t="str">
        <x:v>A-04</x:v>
      </x:c>
      <x:c r="B9" s="19" t="n">
        <x:v>46282.916666666664</x:v>
      </x:c>
      <x:c r="C9" s="12" t="str">
        <x:v>固定样本Schema通过数</x:v>
      </x:c>
      <x:c r="D9" s="12" t="str">
        <x:v>article_bundle.v1校验5/5通过</x:v>
      </x:c>
      <x:c r="E9" s="18" t="str">
        <x:v>数值</x:v>
      </x:c>
      <x:c r="F9" s="18" t="str">
        <x:v>&gt;=</x:v>
      </x:c>
      <x:c r="G9" s="20" t="n">
        <x:v>5</x:v>
      </x:c>
      <x:c r="H9" s="21"/>
      <x:c r="I9" s="18" t="str">
        <x:v>篇</x:v>
      </x:c>
      <x:c r="J9" s="16"/>
      <x:c r="K9" s="16"/>
      <x:c r="L9" s="18" t="str">
        <x:v>B/C</x:v>
      </x:c>
      <x:c r="M9" s="22"/>
      <x:c r="N9" s="23" t="str">
        <x: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x:f>
        <x:v>待填写</x:v>
      </x:c>
      <x:c r="O9" s="16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 ht="33" customHeight="1">
      <x:c r="A10" s="18" t="str">
        <x:v>A-05</x:v>
      </x:c>
      <x:c r="B10" s="19" t="n">
        <x:v>46284.75</x:v>
      </x:c>
      <x:c r="C10" s="12" t="str">
        <x:v>最小请求间隔</x:v>
      </x:c>
      <x:c r="D10" s="12" t="str">
        <x:v>正常门户请求间隔不得低于0.8秒</x:v>
      </x:c>
      <x:c r="E10" s="18" t="str">
        <x:v>数值</x:v>
      </x:c>
      <x:c r="F10" s="18" t="str">
        <x:v>&gt;=</x:v>
      </x:c>
      <x:c r="G10" s="20" t="n">
        <x:v>0.8</x:v>
      </x:c>
      <x:c r="H10" s="21"/>
      <x:c r="I10" s="18" t="str">
        <x:v>秒</x:v>
      </x:c>
      <x:c r="J10" s="16"/>
      <x:c r="K10" s="16"/>
      <x:c r="L10" s="18" t="str">
        <x:v>C</x:v>
      </x:c>
      <x:c r="M10" s="22"/>
      <x:c r="N10" s="23" t="str">
        <x: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x:f>
        <x:v>待填写</x:v>
      </x:c>
      <x:c r="O10" s="16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 ht="33" customHeight="1">
      <x:c r="A11" s="18" t="str">
        <x:v>A-06</x:v>
      </x:c>
      <x:c r="B11" s="19" t="n">
        <x:v>46284.75</x:v>
      </x:c>
      <x:c r="C11" s="12" t="str">
        <x:v>最大请求间隔</x:v>
      </x:c>
      <x:c r="D11" s="12" t="str">
        <x:v>正常门户请求间隔不得高于1.5秒</x:v>
      </x:c>
      <x:c r="E11" s="18" t="str">
        <x:v>数值</x:v>
      </x:c>
      <x:c r="F11" s="18" t="str">
        <x:v>&lt;=</x:v>
      </x:c>
      <x:c r="G11" s="20" t="n">
        <x:v>1.5</x:v>
      </x:c>
      <x:c r="H11" s="21"/>
      <x:c r="I11" s="18" t="str">
        <x:v>秒</x:v>
      </x:c>
      <x:c r="J11" s="16"/>
      <x:c r="K11" s="16"/>
      <x:c r="L11" s="18" t="str">
        <x:v>C</x:v>
      </x:c>
      <x:c r="M11" s="22"/>
      <x:c r="N11" s="23" t="str">
        <x: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x:f>
        <x:v>待填写</x:v>
      </x:c>
      <x:c r="O11" s="16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 ht="33" customHeight="1">
      <x:c r="A12" s="18" t="str">
        <x:v>A-07</x:v>
      </x:c>
      <x:c r="B12" s="19" t="n">
        <x:v>46284.75</x:v>
      </x:c>
      <x:c r="C12" s="12" t="str">
        <x:v>最多重试次数</x:v>
      </x:c>
      <x:c r="D12" s="12" t="str">
        <x:v>超时、429、5xx最多重试3次</x:v>
      </x:c>
      <x:c r="E12" s="18" t="str">
        <x:v>数值</x:v>
      </x:c>
      <x:c r="F12" s="18" t="str">
        <x:v>=</x:v>
      </x:c>
      <x:c r="G12" s="20" t="n">
        <x:v>3</x:v>
      </x:c>
      <x:c r="H12" s="21"/>
      <x:c r="I12" s="18" t="str">
        <x:v>次</x:v>
      </x:c>
      <x:c r="J12" s="16"/>
      <x:c r="K12" s="16"/>
      <x:c r="L12" s="18" t="str">
        <x:v>C</x:v>
      </x:c>
      <x:c r="M12" s="22"/>
      <x:c r="N12" s="23" t="str">
        <x: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x:f>
        <x:v>待填写</x:v>
      </x:c>
      <x:c r="O12" s="16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 ht="33" customHeight="1">
      <x:c r="A13" s="18" t="str">
        <x:v>A-08</x:v>
      </x:c>
      <x:c r="B13" s="19" t="n">
        <x:v>46284.75</x:v>
      </x:c>
      <x:c r="C13" s="12" t="str">
        <x:v>断点续采</x:v>
      </x:c>
      <x:c r="D13" s="12" t="str">
        <x:v>中断后只继续未完成项</x:v>
      </x:c>
      <x:c r="E13" s="18" t="str">
        <x:v>是非</x:v>
      </x:c>
      <x:c r="F13" s="18" t="str">
        <x:v>=</x:v>
      </x:c>
      <x:c r="G13" s="20" t="str">
        <x:v>是</x:v>
      </x:c>
      <x:c r="H13" s="21"/>
      <x:c r="I13" s="18" t="str"/>
      <x:c r="J13" s="16"/>
      <x:c r="K13" s="16"/>
      <x:c r="L13" s="18" t="str">
        <x:v>C</x:v>
      </x:c>
      <x:c r="M13" s="22"/>
      <x:c r="N13" s="23" t="str">
        <x: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x:f>
        <x:v>待填写</x:v>
      </x:c>
      <x:c r="O13" s="16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 ht="33" customHeight="1">
      <x:c r="A14" s="18" t="str">
        <x:v>A-09</x:v>
      </x:c>
      <x:c r="B14" s="19" t="n">
        <x:v>46284.75</x:v>
      </x:c>
      <x:c r="C14" s="12" t="str">
        <x:v>重复运行新增重复项</x:v>
      </x:c>
      <x:c r="D14" s="12" t="str">
        <x:v>同一数据连续运行两次不产生重复notice_id</x:v>
      </x:c>
      <x:c r="E14" s="18" t="str">
        <x:v>数值</x:v>
      </x:c>
      <x:c r="F14" s="18" t="str">
        <x:v>=</x:v>
      </x:c>
      <x:c r="G14" s="20" t="n">
        <x:v>0</x:v>
      </x:c>
      <x:c r="H14" s="21"/>
      <x:c r="I14" s="18" t="str">
        <x:v>条</x:v>
      </x:c>
      <x:c r="J14" s="16"/>
      <x:c r="K14" s="16"/>
      <x:c r="L14" s="18" t="str">
        <x:v>C</x:v>
      </x:c>
      <x:c r="M14" s="22"/>
      <x:c r="N14" s="23" t="str">
        <x: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x:f>
        <x:v>待填写</x:v>
      </x:c>
      <x:c r="O14" s="16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 ht="33" customHeight="1">
      <x:c r="A15" s="18" t="str">
        <x:v>A-10</x:v>
      </x:c>
      <x:c r="B15" s="19" t="n">
        <x:v>46284.75</x:v>
      </x:c>
      <x:c r="C15" s="12" t="str">
        <x:v>敏感文件命中</x:v>
      </x:c>
      <x:c r="D15" s="12" t="str">
        <x:v>Cookie、账号、原始个人海报、密钥和未脱敏响应命中为0</x:v>
      </x:c>
      <x:c r="E15" s="18" t="str">
        <x:v>数值</x:v>
      </x:c>
      <x:c r="F15" s="18" t="str">
        <x:v>=</x:v>
      </x:c>
      <x:c r="G15" s="20" t="n">
        <x:v>0</x:v>
      </x:c>
      <x:c r="H15" s="21"/>
      <x:c r="I15" s="18" t="str">
        <x:v>项</x:v>
      </x:c>
      <x:c r="J15" s="16"/>
      <x:c r="K15" s="16"/>
      <x:c r="L15" s="18" t="str">
        <x:v>C</x:v>
      </x:c>
      <x:c r="M15" s="22"/>
      <x:c r="N15" s="23" t="str">
        <x: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x:f>
        <x:v>待填写</x:v>
      </x:c>
      <x:c r="O15" s="16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 ht="33" customHeight="1">
      <x:c r="A16" s="18" t="str">
        <x:v>A-11</x:v>
      </x:c>
      <x:c r="B16" s="19" t="n">
        <x:v>46285.625</x:v>
      </x:c>
      <x:c r="C16" s="12" t="str">
        <x:v>PR与队友检查</x:v>
      </x:c>
      <x:c r="D16" s="12" t="str">
        <x:v>Draft PR已更新，至少一名队友完成检查</x:v>
      </x:c>
      <x:c r="E16" s="18" t="str">
        <x:v>是非</x:v>
      </x:c>
      <x:c r="F16" s="18" t="str">
        <x:v>=</x:v>
      </x:c>
      <x:c r="G16" s="20" t="str">
        <x:v>是</x:v>
      </x:c>
      <x:c r="H16" s="21"/>
      <x:c r="I16" s="18" t="str"/>
      <x:c r="J16" s="16"/>
      <x:c r="K16" s="16"/>
      <x:c r="L16" s="18" t="str">
        <x:v>C</x:v>
      </x:c>
      <x:c r="M16" s="22"/>
      <x:c r="N16" s="23" t="str">
        <x: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x:f>
        <x:v>待填写</x:v>
      </x:c>
      <x:c r="O16" s="16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 ht="33" customHeight="1">
      <x:c r="A17" s="18" t="str">
        <x:v>A-12</x:v>
      </x:c>
      <x:c r="B17" s="19" t="n">
        <x:v>46284.75</x:v>
      </x:c>
      <x:c r="C17" s="12" t="str">
        <x:v>Scheduler触发SyncService</x:v>
      </x:c>
      <x:c r="D17" s="12" t="str">
        <x:v>周期配置可运行，调度器不复制采集逻辑</x:v>
      </x:c>
      <x:c r="E17" s="18" t="str">
        <x:v>是非</x:v>
      </x:c>
      <x:c r="F17" s="18" t="str">
        <x:v>=</x:v>
      </x:c>
      <x:c r="G17" s="20" t="str">
        <x:v>是</x:v>
      </x:c>
      <x:c r="H17" s="21"/>
      <x:c r="I17" s="18" t="str"/>
      <x:c r="J17" s="16"/>
      <x:c r="K17" s="16"/>
      <x:c r="L17" s="18" t="str">
        <x:v>C</x:v>
      </x:c>
      <x:c r="M17" s="22"/>
      <x:c r="N17" s="23" t="str">
        <x: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x:f>
        <x:v>待填写</x:v>
      </x:c>
      <x:c r="O17" s="16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 ht="33" customHeight="1">
      <x:c r="A18" s="18" t="str">
        <x:v>A-13</x:v>
      </x:c>
      <x:c r="B18" s="19" t="n">
        <x:v>46284.75</x:v>
      </x:c>
      <x:c r="C18" s="12" t="str">
        <x:v>单实例锁与任务状态</x:v>
      </x:c>
      <x:c r="D18" s="12" t="str">
        <x:v>并发触发只运行一个任务，状态和游标可查询</x:v>
      </x:c>
      <x:c r="E18" s="18" t="str">
        <x:v>是非</x:v>
      </x:c>
      <x:c r="F18" s="18" t="str">
        <x:v>=</x:v>
      </x:c>
      <x:c r="G18" s="20" t="str">
        <x:v>是</x:v>
      </x:c>
      <x:c r="H18" s="21"/>
      <x:c r="I18" s="18" t="str"/>
      <x:c r="J18" s="16"/>
      <x:c r="K18" s="16"/>
      <x:c r="L18" s="18" t="str">
        <x:v>C</x:v>
      </x:c>
      <x:c r="M18" s="22"/>
      <x:c r="N18" s="23" t="str">
        <x: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x:f>
        <x:v>待填写</x:v>
      </x:c>
      <x:c r="O18" s="16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N6:N18">
    <x:cfRule type="containsText" dxfId="0" priority="1" operator="containsText" text="通过"/>
    <x:cfRule type="containsText" dxfId="1" priority="2" operator="containsText" text="未达标"/>
    <x:cfRule type="containsText" dxfId="2" priority="3" operator="containsText" text="退回"/>
    <x:cfRule type="containsText" dxfId="3" priority="4" operator="containsText" text="缺证据"/>
  </x:conditionalFormatting>
  <x:dataValidations count="1">
    <x:dataValidation type="list" sqref="M6:M18">
      <x:formula1>"未确认,通过,退回"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15.630000114440918" hidden="0" customWidth="1"/>
    <x:col min="3" max="3" width="21.8799991607666" hidden="0" customWidth="1"/>
    <x:col min="4" max="4" width="35" hidden="0" customWidth="1"/>
    <x:col min="5" max="5" width="9" hidden="0" customWidth="1"/>
    <x:col min="6" max="6" width="6.880000114440918" hidden="0" customWidth="1"/>
    <x:col min="7" max="7" width="9" hidden="0" customWidth="1"/>
    <x:col min="8" max="8" width="9" hidden="0" customWidth="1"/>
    <x:col min="9" max="9" width="9" hidden="0" customWidth="1"/>
    <x:col min="10" max="10" width="25" hidden="0" customWidth="1"/>
    <x:col min="11" max="11" width="18.75" hidden="0" customWidth="1"/>
    <x:col min="12" max="12" width="7.75" hidden="0" customWidth="1"/>
    <x:col min="13" max="13" width="10" hidden="0" customWidth="1"/>
    <x:col min="14" max="14" width="10.25" hidden="0" customWidth="1"/>
    <x:col min="15" max="15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角色 B 验收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黄色单元格由C依据角色进度文件或PR清单回填。状态必须同时有实际值、证据、Commit/PR和接收确认；主文件由C单写。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项目ID</x:v>
      </x:c>
      <x:c r="B5" s="9" t="str">
        <x:v>截止时间</x:v>
      </x:c>
      <x:c r="C5" s="9" t="str">
        <x:v>验收项</x:v>
      </x:c>
      <x:c r="D5" s="9" t="str">
        <x:v>目标或通过条件</x:v>
      </x:c>
      <x:c r="E5" s="9" t="str">
        <x:v>指标类型</x:v>
      </x:c>
      <x:c r="F5" s="9" t="str">
        <x:v>比较符</x:v>
      </x:c>
      <x:c r="G5" s="9" t="str">
        <x:v>目标值</x:v>
      </x:c>
      <x:c r="H5" s="9" t="str">
        <x:v>实际值</x:v>
      </x:c>
      <x:c r="I5" s="9" t="str">
        <x:v>单位</x:v>
      </x:c>
      <x:c r="J5" s="9" t="str">
        <x:v>证据路径或链接</x:v>
      </x:c>
      <x:c r="K5" s="9" t="str">
        <x:v>Commit或PR</x:v>
      </x:c>
      <x:c r="L5" s="9" t="str">
        <x:v>接收人</x:v>
      </x:c>
      <x:c r="M5" s="9" t="str">
        <x:v>接收确认</x:v>
      </x:c>
      <x:c r="N5" s="9" t="str">
        <x:v>状态</x:v>
      </x:c>
      <x:c r="O5" s="9" t="str">
        <x:v>备注或阻塞</x:v>
      </x:c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 ht="33" customHeight="1">
      <x:c r="A6" s="18" t="str">
        <x:v>B-01</x:v>
      </x:c>
      <x:c r="B6" s="19" t="n">
        <x:v>46283.916666666664</x:v>
      </x:c>
      <x:c r="C6" s="12" t="str">
        <x:v>人工金标准样本数</x:v>
      </x:c>
      <x:c r="D6" s="12" t="str">
        <x:v>固定20张海报；记录匿名ID和SHA-256</x:v>
      </x:c>
      <x:c r="E6" s="18" t="str">
        <x:v>数值</x:v>
      </x:c>
      <x:c r="F6" s="18" t="str">
        <x:v>&gt;=</x:v>
      </x:c>
      <x:c r="G6" s="20" t="n">
        <x:v>20</x:v>
      </x:c>
      <x:c r="H6" s="21" t="n">
        <x:f>COUNTIF('20样本评测'!AA15:AA34,"通过")</x:f>
        <x:v>0</x:v>
      </x:c>
      <x:c r="I6" s="18" t="str">
        <x:v>张</x:v>
      </x:c>
      <x:c r="J6" s="16"/>
      <x:c r="K6" s="16"/>
      <x:c r="L6" s="18" t="str">
        <x:v>C</x:v>
      </x:c>
      <x:c r="M6" s="22"/>
      <x:c r="N6" s="23" t="str">
        <x: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x:f>
        <x:v>待填写</x:v>
      </x:c>
      <x:c r="O6" s="16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 ht="33" customHeight="1">
      <x:c r="A7" s="18" t="str">
        <x:v>B-02</x:v>
      </x:c>
      <x:c r="B7" s="19" t="n">
        <x:v>46283.916666666664</x:v>
      </x:c>
      <x:c r="C7" s="12" t="str">
        <x:v>金标准人工完成</x:v>
      </x:c>
      <x:c r="D7" s="12" t="str">
        <x:v>模型输出不得代替人工答案</x:v>
      </x:c>
      <x:c r="E7" s="18" t="str">
        <x:v>是非</x:v>
      </x:c>
      <x:c r="F7" s="18" t="str">
        <x:v>=</x:v>
      </x:c>
      <x:c r="G7" s="20" t="str">
        <x:v>是</x:v>
      </x:c>
      <x:c r="H7" s="21"/>
      <x:c r="I7" s="18" t="str"/>
      <x:c r="J7" s="16"/>
      <x:c r="K7" s="16"/>
      <x:c r="L7" s="18" t="str">
        <x:v>C</x:v>
      </x:c>
      <x:c r="M7" s="22"/>
      <x:c r="N7" s="23" t="str">
        <x: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x:f>
        <x:v>待填写</x:v>
      </x:c>
      <x:c r="O7" s="16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 ht="33" customHeight="1">
      <x:c r="A8" s="18" t="str">
        <x:v>B-03</x:v>
      </x:c>
      <x:c r="B8" s="19" t="n">
        <x:v>46284.5</x:v>
      </x:c>
      <x:c r="C8" s="12" t="str">
        <x:v>固定样本抽取数</x:v>
      </x:c>
      <x:c r="D8" s="12" t="str">
        <x:v>5篇固定样本产生extraction_bundle.v1</x:v>
      </x:c>
      <x:c r="E8" s="18" t="str">
        <x:v>数值</x:v>
      </x:c>
      <x:c r="F8" s="18" t="str">
        <x:v>&gt;=</x:v>
      </x:c>
      <x:c r="G8" s="20" t="n">
        <x:v>5</x:v>
      </x:c>
      <x:c r="H8" s="21"/>
      <x:c r="I8" s="18" t="str">
        <x:v>篇</x:v>
      </x:c>
      <x:c r="J8" s="16"/>
      <x:c r="K8" s="16"/>
      <x:c r="L8" s="18" t="str">
        <x:v>C</x:v>
      </x:c>
      <x:c r="M8" s="22"/>
      <x:c r="N8" s="23" t="str">
        <x: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x:f>
        <x:v>待填写</x:v>
      </x:c>
      <x:c r="O8" s="16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 ht="33" customHeight="1">
      <x:c r="A9" s="18" t="str">
        <x:v>B-04</x:v>
      </x:c>
      <x:c r="B9" s="19" t="n">
        <x:v>46284.5</x:v>
      </x:c>
      <x:c r="C9" s="12" t="str">
        <x:v>固定样本Schema通过数</x:v>
      </x:c>
      <x:c r="D9" s="12" t="str">
        <x:v>extraction_bundle.v1校验5/5通过</x:v>
      </x:c>
      <x:c r="E9" s="18" t="str">
        <x:v>数值</x:v>
      </x:c>
      <x:c r="F9" s="18" t="str">
        <x:v>&gt;=</x:v>
      </x:c>
      <x:c r="G9" s="20" t="n">
        <x:v>5</x:v>
      </x:c>
      <x:c r="H9" s="21"/>
      <x:c r="I9" s="18" t="str">
        <x:v>篇</x:v>
      </x:c>
      <x:c r="J9" s="16"/>
      <x:c r="K9" s="16"/>
      <x:c r="L9" s="18" t="str">
        <x:v>C</x:v>
      </x:c>
      <x:c r="M9" s="22"/>
      <x:c r="N9" s="23" t="str">
        <x: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x:f>
        <x:v>待填写</x:v>
      </x:c>
      <x:c r="O9" s="16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 ht="33" customHeight="1">
      <x:c r="A10" s="18" t="str">
        <x:v>B-05</x:v>
      </x:c>
      <x:c r="B10" s="19" t="n">
        <x:v>46284.75</x:v>
      </x:c>
      <x:c r="C10" s="12" t="str">
        <x:v>届别字段准确率</x:v>
      </x:c>
      <x:c r="D10" s="12" t="str">
        <x:v>单独计算，不以总平均替代</x:v>
      </x:c>
      <x:c r="E10" s="18" t="str">
        <x:v>数值</x:v>
      </x:c>
      <x:c r="F10" s="18" t="str">
        <x:v>&gt;=</x:v>
      </x:c>
      <x:c r="G10" s="20" t="n">
        <x:v>90</x:v>
      </x:c>
      <x:c r="H10" s="21" t="str">
        <x:f>IF('20样本评测'!D6="","",'20样本评测'!D6*100)</x:f>
      </x:c>
      <x:c r="I10" s="18" t="str">
        <x:v>%</x:v>
      </x:c>
      <x:c r="J10" s="16"/>
      <x:c r="K10" s="16"/>
      <x:c r="L10" s="18" t="str">
        <x:v>C</x:v>
      </x:c>
      <x:c r="M10" s="22"/>
      <x:c r="N10" s="23" t="str">
        <x: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x:f>
        <x:v>待填写</x:v>
      </x:c>
      <x:c r="O10" s="16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 ht="33" customHeight="1">
      <x:c r="A11" s="18" t="str">
        <x:v>B-06</x:v>
      </x:c>
      <x:c r="B11" s="19" t="n">
        <x:v>46284.75</x:v>
      </x:c>
      <x:c r="C11" s="12" t="str">
        <x:v>学历字段准确率</x:v>
      </x:c>
      <x:c r="D11" s="12" t="str">
        <x:v>单独计算，不以总平均替代</x:v>
      </x:c>
      <x:c r="E11" s="18" t="str">
        <x:v>数值</x:v>
      </x:c>
      <x:c r="F11" s="18" t="str">
        <x:v>&gt;=</x:v>
      </x:c>
      <x:c r="G11" s="20" t="n">
        <x:v>90</x:v>
      </x:c>
      <x:c r="H11" s="21" t="str">
        <x:f>IF('20样本评测'!D7="","",'20样本评测'!D7*100)</x:f>
      </x:c>
      <x:c r="I11" s="18" t="str">
        <x:v>%</x:v>
      </x:c>
      <x:c r="J11" s="16"/>
      <x:c r="K11" s="16"/>
      <x:c r="L11" s="18" t="str">
        <x:v>C</x:v>
      </x:c>
      <x:c r="M11" s="22"/>
      <x:c r="N11" s="23" t="str">
        <x: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x:f>
        <x:v>待填写</x:v>
      </x:c>
      <x:c r="O11" s="16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 ht="33" customHeight="1">
      <x:c r="A12" s="18" t="str">
        <x:v>B-07</x:v>
      </x:c>
      <x:c r="B12" s="19" t="n">
        <x:v>46284.75</x:v>
      </x:c>
      <x:c r="C12" s="12" t="str">
        <x:v>专业字段准确率</x:v>
      </x:c>
      <x:c r="D12" s="12" t="str">
        <x:v>单独计算，不以总平均替代</x:v>
      </x:c>
      <x:c r="E12" s="18" t="str">
        <x:v>数值</x:v>
      </x:c>
      <x:c r="F12" s="18" t="str">
        <x:v>&gt;=</x:v>
      </x:c>
      <x:c r="G12" s="20" t="n">
        <x:v>90</x:v>
      </x:c>
      <x:c r="H12" s="21" t="str">
        <x:f>IF('20样本评测'!D8="","",'20样本评测'!D8*100)</x:f>
      </x:c>
      <x:c r="I12" s="18" t="str">
        <x:v>%</x:v>
      </x:c>
      <x:c r="J12" s="16"/>
      <x:c r="K12" s="16"/>
      <x:c r="L12" s="18" t="str">
        <x:v>C</x:v>
      </x:c>
      <x:c r="M12" s="22"/>
      <x:c r="N12" s="23" t="str">
        <x: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x:f>
        <x:v>待填写</x:v>
      </x:c>
      <x:c r="O12" s="16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 ht="33" customHeight="1">
      <x:c r="A13" s="18" t="str">
        <x:v>B-08</x:v>
      </x:c>
      <x:c r="B13" s="19" t="n">
        <x:v>46284.75</x:v>
      </x:c>
      <x:c r="C13" s="12" t="str">
        <x:v>城市字段准确率</x:v>
      </x:c>
      <x:c r="D13" s="12" t="str">
        <x:v>单独计算，不以总平均替代</x:v>
      </x:c>
      <x:c r="E13" s="18" t="str">
        <x:v>数值</x:v>
      </x:c>
      <x:c r="F13" s="18" t="str">
        <x:v>&gt;=</x:v>
      </x:c>
      <x:c r="G13" s="20" t="n">
        <x:v>90</x:v>
      </x:c>
      <x:c r="H13" s="21" t="str">
        <x:f>IF('20样本评测'!D9="","",'20样本评测'!D9*100)</x:f>
      </x:c>
      <x:c r="I13" s="18" t="str">
        <x:v>%</x:v>
      </x:c>
      <x:c r="J13" s="16"/>
      <x:c r="K13" s="16"/>
      <x:c r="L13" s="18" t="str">
        <x:v>C</x:v>
      </x:c>
      <x:c r="M13" s="22"/>
      <x:c r="N13" s="23" t="str">
        <x: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x:f>
        <x:v>待填写</x:v>
      </x:c>
      <x:c r="O13" s="16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 ht="33" customHeight="1">
      <x:c r="A14" s="18" t="str">
        <x:v>B-09</x:v>
      </x:c>
      <x:c r="B14" s="19" t="n">
        <x:v>46284.75</x:v>
      </x:c>
      <x:c r="C14" s="12" t="str">
        <x:v>岗位字段准确率</x:v>
      </x:c>
      <x:c r="D14" s="12" t="str">
        <x:v>单独计算，不以总平均替代</x:v>
      </x:c>
      <x:c r="E14" s="18" t="str">
        <x:v>数值</x:v>
      </x:c>
      <x:c r="F14" s="18" t="str">
        <x:v>&gt;=</x:v>
      </x:c>
      <x:c r="G14" s="20" t="n">
        <x:v>90</x:v>
      </x:c>
      <x:c r="H14" s="21" t="str">
        <x:f>IF('20样本评测'!D10="","",'20样本评测'!D10*100)</x:f>
      </x:c>
      <x:c r="I14" s="18" t="str">
        <x:v>%</x:v>
      </x:c>
      <x:c r="J14" s="16"/>
      <x:c r="K14" s="16"/>
      <x:c r="L14" s="18" t="str">
        <x:v>C</x:v>
      </x:c>
      <x:c r="M14" s="22"/>
      <x:c r="N14" s="23" t="str">
        <x: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x:f>
        <x:v>待填写</x:v>
      </x:c>
      <x:c r="O14" s="16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 ht="33" customHeight="1">
      <x:c r="A15" s="18" t="str">
        <x:v>B-10</x:v>
      </x:c>
      <x:c r="B15" s="19" t="n">
        <x:v>46284.75</x:v>
      </x:c>
      <x:c r="C15" s="12" t="str">
        <x:v>同一20样本对照</x:v>
      </x:c>
      <x:c r="D15" s="12" t="str">
        <x:v>OCR和多模态使用相同20张海报</x:v>
      </x:c>
      <x:c r="E15" s="18" t="str">
        <x:v>是非</x:v>
      </x:c>
      <x:c r="F15" s="18" t="str">
        <x:v>=</x:v>
      </x:c>
      <x:c r="G15" s="20" t="str">
        <x:v>是</x:v>
      </x:c>
      <x:c r="H15" s="21" t="str">
        <x:f>IF(COUNTIF('20样本评测'!AB15:AB34,"通过")=20,"是","")</x:f>
      </x:c>
      <x:c r="I15" s="18" t="str"/>
      <x:c r="J15" s="16"/>
      <x:c r="K15" s="16"/>
      <x:c r="L15" s="18" t="str">
        <x:v>C</x:v>
      </x:c>
      <x:c r="M15" s="22"/>
      <x:c r="N15" s="23" t="str">
        <x: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x:f>
        <x:v>待填写</x:v>
      </x:c>
      <x:c r="O15" s="16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 ht="33" customHeight="1">
      <x:c r="A16" s="18" t="str">
        <x:v>B-11</x:v>
      </x:c>
      <x:c r="B16" s="19" t="n">
        <x:v>46284.75</x:v>
      </x:c>
      <x:c r="C16" s="12" t="str">
        <x:v>完整记录与耗时成本已报告</x:v>
      </x:c>
      <x:c r="D16" s="12" t="str">
        <x:v>两路线均报告完整记录准确率、平均/P95耗时和成本</x:v>
      </x:c>
      <x:c r="E16" s="18" t="str">
        <x:v>是非</x:v>
      </x:c>
      <x:c r="F16" s="18" t="str">
        <x:v>=</x:v>
      </x:c>
      <x:c r="G16" s="20" t="str">
        <x:v>是</x:v>
      </x:c>
      <x:c r="H16" s="21"/>
      <x:c r="I16" s="18" t="str"/>
      <x:c r="J16" s="16"/>
      <x:c r="K16" s="16"/>
      <x:c r="L16" s="18" t="str">
        <x:v>C</x:v>
      </x:c>
      <x:c r="M16" s="22"/>
      <x:c r="N16" s="23" t="str">
        <x: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x:f>
        <x:v>待填写</x:v>
      </x:c>
      <x:c r="O16" s="16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 ht="33" customHeight="1">
      <x:c r="A17" s="18" t="str">
        <x:v>B-12</x:v>
      </x:c>
      <x:c r="B17" s="19" t="n">
        <x:v>46284.75</x:v>
      </x:c>
      <x:c r="C17" s="12" t="str">
        <x:v>多模态启用结论符合门槛</x:v>
      </x:c>
      <x:c r="D17" s="12" t="str">
        <x:v>评测表必须产生达到5个百分点门槛或未达到不启用的可追溯结论</x:v>
      </x:c>
      <x:c r="E17" s="18" t="str">
        <x:v>结论</x:v>
      </x:c>
      <x:c r="F17" s="18" t="str">
        <x:v>=</x:v>
      </x:c>
      <x:c r="G17" s="20" t="str">
        <x:v>有效结论</x:v>
      </x:c>
      <x:c r="H17" s="21" t="str">
        <x:f>IF('20样本评测'!H12="达到5个百分点门槛","启用",IF('20样本评测'!H12="未达到 不启用","不启用",""))</x:f>
      </x:c>
      <x:c r="I17" s="18" t="str"/>
      <x:c r="J17" s="16"/>
      <x:c r="K17" s="16"/>
      <x:c r="L17" s="18" t="str">
        <x:v>C</x:v>
      </x:c>
      <x:c r="M17" s="22"/>
      <x:c r="N17" s="23" t="str">
        <x:f>IF(H17="","待填写",IF(OR(J17="",K17=""),"缺证据",IF(OR(H17="启用",H17="不启用"),IF(M17="通过","通过",IF(M17="退回","退回","待接收")),"未达标")))</x:f>
        <x:v>待填写</x:v>
      </x:c>
      <x:c r="O17" s="16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 ht="33" customHeight="1">
      <x:c r="A18" s="18" t="str">
        <x:v>B-13</x:v>
      </x:c>
      <x:c r="B18" s="19" t="n">
        <x:v>46284.75</x:v>
      </x:c>
      <x:c r="C18" s="12" t="str">
        <x:v>低置信度进入复核队列</x:v>
      </x:c>
      <x:c r="D18" s="12" t="str">
        <x:v>缺失、冲突、低置信度不静默发布</x:v>
      </x:c>
      <x:c r="E18" s="18" t="str">
        <x:v>是非</x:v>
      </x:c>
      <x:c r="F18" s="18" t="str">
        <x:v>=</x:v>
      </x:c>
      <x:c r="G18" s="20" t="str">
        <x:v>是</x:v>
      </x:c>
      <x:c r="H18" s="21"/>
      <x:c r="I18" s="18" t="str"/>
      <x:c r="J18" s="16"/>
      <x:c r="K18" s="16"/>
      <x:c r="L18" s="18" t="str">
        <x:v>C</x:v>
      </x:c>
      <x:c r="M18" s="22"/>
      <x:c r="N18" s="23" t="str">
        <x: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x:f>
        <x:v>待填写</x:v>
      </x:c>
      <x:c r="O18" s="16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 ht="33" customHeight="1">
      <x:c r="A19" s="18" t="str">
        <x:v>B-14</x:v>
      </x:c>
      <x:c r="B19" s="19" t="n">
        <x:v>46284.75</x:v>
      </x:c>
      <x:c r="C19" s="12" t="str">
        <x:v>敏感原图或密钥命中</x:v>
      </x:c>
      <x:c r="D19" s="12" t="str">
        <x:v>仓库扫描命中为0</x:v>
      </x:c>
      <x:c r="E19" s="18" t="str">
        <x:v>数值</x:v>
      </x:c>
      <x:c r="F19" s="18" t="str">
        <x:v>=</x:v>
      </x:c>
      <x:c r="G19" s="20" t="n">
        <x:v>0</x:v>
      </x:c>
      <x:c r="H19" s="21"/>
      <x:c r="I19" s="18" t="str">
        <x:v>项</x:v>
      </x:c>
      <x:c r="J19" s="16"/>
      <x:c r="K19" s="16"/>
      <x:c r="L19" s="18" t="str">
        <x:v>C</x:v>
      </x:c>
      <x:c r="M19" s="22"/>
      <x:c r="N19" s="23" t="str">
        <x: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x:f>
        <x:v>待填写</x:v>
      </x:c>
      <x:c r="O19" s="16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 ht="33" customHeight="1">
      <x:c r="A20" s="18" t="str">
        <x:v>B-15</x:v>
      </x:c>
      <x:c r="B20" s="19" t="n">
        <x:v>46284.75</x:v>
      </x:c>
      <x:c r="C20" s="12" t="str">
        <x:v>固定样本Evidence pack</x:v>
      </x:c>
      <x:c r="D20" s="12" t="str">
        <x:v>5篇记录都有可检索字段证据、来源和复核状态</x:v>
      </x:c>
      <x:c r="E20" s="18" t="str">
        <x:v>数值</x:v>
      </x:c>
      <x:c r="F20" s="18" t="str">
        <x:v>&gt;=</x:v>
      </x:c>
      <x:c r="G20" s="20" t="n">
        <x:v>5</x:v>
      </x:c>
      <x:c r="H20" s="21"/>
      <x:c r="I20" s="18" t="str">
        <x:v>篇</x:v>
      </x:c>
      <x:c r="J20" s="16"/>
      <x:c r="K20" s="16"/>
      <x:c r="L20" s="18" t="str">
        <x:v>C</x:v>
      </x:c>
      <x:c r="M20" s="22"/>
      <x:c r="N20" s="23" t="str">
        <x: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x:f>
        <x:v>待填写</x:v>
      </x:c>
      <x:c r="O20" s="16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 ht="33" customHeight="1">
      <x:c r="A21" s="18" t="str">
        <x:v>B-16</x:v>
      </x:c>
      <x:c r="B21" s="19" t="n">
        <x:v>46284.75</x:v>
      </x:c>
      <x:c r="C21" s="12" t="str">
        <x:v>外部多模态处理边界</x:v>
      </x:c>
      <x:c r="D21" s="12" t="str">
        <x:v>服务商、模型、发送数据、授权、保留策略、价格日期和脱敏检查均有记录</x:v>
      </x:c>
      <x:c r="E21" s="18" t="str">
        <x:v>是非</x:v>
      </x:c>
      <x:c r="F21" s="18" t="str">
        <x:v>=</x:v>
      </x:c>
      <x:c r="G21" s="20" t="str">
        <x:v>是</x:v>
      </x:c>
      <x:c r="H21" s="21"/>
      <x:c r="I21" s="18" t="str"/>
      <x:c r="J21" s="16"/>
      <x:c r="K21" s="16"/>
      <x:c r="L21" s="18" t="str">
        <x:v>C</x:v>
      </x:c>
      <x:c r="M21" s="22"/>
      <x:c r="N21" s="23" t="str">
        <x: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x:f>
        <x:v>待填写</x:v>
      </x:c>
      <x:c r="O21" s="16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N6:N21">
    <x:cfRule type="containsText" dxfId="4" priority="1" operator="containsText" text="通过"/>
    <x:cfRule type="containsText" dxfId="5" priority="2" operator="containsText" text="未达标"/>
    <x:cfRule type="containsText" dxfId="6" priority="3" operator="containsText" text="退回"/>
    <x:cfRule type="containsText" dxfId="7" priority="4" operator="containsText" text="缺证据"/>
  </x:conditionalFormatting>
  <x:dataValidations count="1">
    <x:dataValidation type="list" sqref="M6:M21">
      <x:formula1>"未确认,通过,退回"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15.630000114440918" hidden="0" customWidth="1"/>
    <x:col min="3" max="3" width="21.8799991607666" hidden="0" customWidth="1"/>
    <x:col min="4" max="4" width="35" hidden="0" customWidth="1"/>
    <x:col min="5" max="5" width="9" hidden="0" customWidth="1"/>
    <x:col min="6" max="6" width="6.880000114440918" hidden="0" customWidth="1"/>
    <x:col min="7" max="7" width="9" hidden="0" customWidth="1"/>
    <x:col min="8" max="8" width="9" hidden="0" customWidth="1"/>
    <x:col min="9" max="9" width="9" hidden="0" customWidth="1"/>
    <x:col min="10" max="10" width="25" hidden="0" customWidth="1"/>
    <x:col min="11" max="11" width="18.75" hidden="0" customWidth="1"/>
    <x:col min="12" max="12" width="7.75" hidden="0" customWidth="1"/>
    <x:col min="13" max="13" width="10" hidden="0" customWidth="1"/>
    <x:col min="14" max="14" width="10.25" hidden="0" customWidth="1"/>
    <x:col min="15" max="15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角色 C 验收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黄色单元格由C依据角色进度文件或PR清单回填。状态必须同时有实际值、证据、Commit/PR和接收确认；主文件由C单写。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项目ID</x:v>
      </x:c>
      <x:c r="B5" s="9" t="str">
        <x:v>截止时间</x:v>
      </x:c>
      <x:c r="C5" s="9" t="str">
        <x:v>验收项</x:v>
      </x:c>
      <x:c r="D5" s="9" t="str">
        <x:v>目标或通过条件</x:v>
      </x:c>
      <x:c r="E5" s="9" t="str">
        <x:v>指标类型</x:v>
      </x:c>
      <x:c r="F5" s="9" t="str">
        <x:v>比较符</x:v>
      </x:c>
      <x:c r="G5" s="9" t="str">
        <x:v>目标值</x:v>
      </x:c>
      <x:c r="H5" s="9" t="str">
        <x:v>实际值</x:v>
      </x:c>
      <x:c r="I5" s="9" t="str">
        <x:v>单位</x:v>
      </x:c>
      <x:c r="J5" s="9" t="str">
        <x:v>证据路径或链接</x:v>
      </x:c>
      <x:c r="K5" s="9" t="str">
        <x:v>Commit或PR</x:v>
      </x:c>
      <x:c r="L5" s="9" t="str">
        <x:v>接收人</x:v>
      </x:c>
      <x:c r="M5" s="9" t="str">
        <x:v>接收确认</x:v>
      </x:c>
      <x:c r="N5" s="9" t="str">
        <x:v>状态</x:v>
      </x:c>
      <x:c r="O5" s="9" t="str">
        <x:v>备注或阻塞</x:v>
      </x:c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 ht="33" customHeight="1">
      <x:c r="A6" s="18" t="str">
        <x:v>C-01</x:v>
      </x:c>
      <x:c r="B6" s="19" t="n">
        <x:v>46282.5</x:v>
      </x:c>
      <x:c r="C6" s="12" t="str">
        <x:v>共享契约冻结</x:v>
      </x:c>
      <x:c r="D6" s="12" t="str">
        <x:v>接口字典和两份Schema经A/B确认</x:v>
      </x:c>
      <x:c r="E6" s="18" t="str">
        <x:v>是非</x:v>
      </x:c>
      <x:c r="F6" s="18" t="str">
        <x:v>=</x:v>
      </x:c>
      <x:c r="G6" s="20" t="str">
        <x:v>是</x:v>
      </x:c>
      <x:c r="H6" s="21"/>
      <x:c r="I6" s="18" t="str"/>
      <x:c r="J6" s="16"/>
      <x:c r="K6" s="16"/>
      <x:c r="L6" s="18" t="str">
        <x:v>A/B</x:v>
      </x:c>
      <x:c r="M6" s="22"/>
      <x:c r="N6" s="23" t="str">
        <x: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x:f>
        <x:v>待填写</x:v>
      </x:c>
      <x:c r="O6" s="16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 ht="33" customHeight="1">
      <x:c r="A7" s="18" t="str">
        <x:v>C-02</x:v>
      </x:c>
      <x:c r="B7" s="19" t="n">
        <x:v>46282.5</x:v>
      </x:c>
      <x:c r="C7" s="12" t="str">
        <x:v>Schema示例通过数</x:v>
      </x:c>
      <x:c r="D7" s="12" t="str">
        <x:v>article和extraction示例均通过</x:v>
      </x:c>
      <x:c r="E7" s="18" t="str">
        <x:v>数值</x:v>
      </x:c>
      <x:c r="F7" s="18" t="str">
        <x:v>&gt;=</x:v>
      </x:c>
      <x:c r="G7" s="20" t="n">
        <x:v>2</x:v>
      </x:c>
      <x:c r="H7" s="21"/>
      <x:c r="I7" s="18" t="str">
        <x:v>份</x:v>
      </x:c>
      <x:c r="J7" s="16"/>
      <x:c r="K7" s="16"/>
      <x:c r="L7" s="18" t="str">
        <x:v>A/B</x:v>
      </x:c>
      <x:c r="M7" s="22"/>
      <x:c r="N7" s="23" t="str">
        <x: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x:f>
        <x:v>待填写</x:v>
      </x:c>
      <x:c r="O7" s="16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 ht="33" customHeight="1">
      <x:c r="A8" s="18" t="str">
        <x:v>C-03</x:v>
      </x:c>
      <x:c r="B8" s="19" t="n">
        <x:v>46282.916666666664</x:v>
      </x:c>
      <x:c r="C8" s="12" t="str">
        <x:v>核心数据库表</x:v>
      </x:c>
      <x:c r="D8" s="12" t="str">
        <x:v>articles、assets、experience_records、evidence、processing_events</x:v>
      </x:c>
      <x:c r="E8" s="18" t="str">
        <x:v>数值</x:v>
      </x:c>
      <x:c r="F8" s="18" t="str">
        <x:v>&gt;=</x:v>
      </x:c>
      <x:c r="G8" s="20" t="n">
        <x:v>5</x:v>
      </x:c>
      <x:c r="H8" s="21"/>
      <x:c r="I8" s="18" t="str">
        <x:v>表</x:v>
      </x:c>
      <x:c r="J8" s="16"/>
      <x:c r="K8" s="16"/>
      <x:c r="L8" s="18" t="str">
        <x:v>A/B</x:v>
      </x:c>
      <x:c r="M8" s="22"/>
      <x:c r="N8" s="23" t="str">
        <x: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x:f>
        <x:v>待填写</x:v>
      </x:c>
      <x:c r="O8" s="16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 ht="33" customHeight="1">
      <x:c r="A9" s="18" t="str">
        <x:v>C-04</x:v>
      </x:c>
      <x:c r="B9" s="19" t="n">
        <x:v>46283.916666666664</x:v>
      </x:c>
      <x:c r="C9" s="12" t="str">
        <x:v>重复导入新增记录</x:v>
      </x:c>
      <x:c r="D9" s="12" t="str">
        <x:v>同一bundle导入两次不增行</x:v>
      </x:c>
      <x:c r="E9" s="18" t="str">
        <x:v>数值</x:v>
      </x:c>
      <x:c r="F9" s="18" t="str">
        <x:v>=</x:v>
      </x:c>
      <x:c r="G9" s="20" t="n">
        <x:v>0</x:v>
      </x:c>
      <x:c r="H9" s="21"/>
      <x:c r="I9" s="18" t="str">
        <x:v>条</x:v>
      </x:c>
      <x:c r="J9" s="16"/>
      <x:c r="K9" s="16"/>
      <x:c r="L9" s="18" t="str">
        <x:v>A/B</x:v>
      </x:c>
      <x:c r="M9" s="22"/>
      <x:c r="N9" s="23" t="str">
        <x: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x:f>
        <x:v>待填写</x:v>
      </x:c>
      <x:c r="O9" s="16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 ht="33" customHeight="1">
      <x:c r="A10" s="18" t="str">
        <x:v>C-05</x:v>
      </x:c>
      <x:c r="B10" s="19" t="n">
        <x:v>46284.75</x:v>
      </x:c>
      <x:c r="C10" s="12" t="str">
        <x:v>固定样本完整链路</x:v>
      </x:c>
      <x:c r="D10" s="12" t="str">
        <x:v>采集结果、抽取、入库、查询、详情与证据</x:v>
      </x:c>
      <x:c r="E10" s="18" t="str">
        <x:v>数值</x:v>
      </x:c>
      <x:c r="F10" s="18" t="str">
        <x:v>&gt;=</x:v>
      </x:c>
      <x:c r="G10" s="20" t="n">
        <x:v>5</x:v>
      </x:c>
      <x:c r="H10" s="21"/>
      <x:c r="I10" s="18" t="str">
        <x:v>篇</x:v>
      </x:c>
      <x:c r="J10" s="16"/>
      <x:c r="K10" s="16"/>
      <x:c r="L10" s="18" t="str">
        <x:v>A/B</x:v>
      </x:c>
      <x:c r="M10" s="22"/>
      <x:c r="N10" s="23" t="str">
        <x: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x:f>
        <x:v>待填写</x:v>
      </x:c>
      <x:c r="O10" s="16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 ht="33" customHeight="1">
      <x:c r="A11" s="18" t="str">
        <x:v>C-06</x:v>
      </x:c>
      <x:c r="B11" s="19" t="n">
        <x:v>46283.916666666664</x:v>
      </x:c>
      <x:c r="C11" s="12" t="str">
        <x:v>传统查询可用</x:v>
      </x:c>
      <x:c r="D11" s="12" t="str">
        <x:v>结构化过滤、关键词和无结果放宽提示</x:v>
      </x:c>
      <x:c r="E11" s="18" t="str">
        <x:v>是非</x:v>
      </x:c>
      <x:c r="F11" s="18" t="str">
        <x:v>=</x:v>
      </x:c>
      <x:c r="G11" s="20" t="str">
        <x:v>是</x:v>
      </x:c>
      <x:c r="H11" s="21"/>
      <x:c r="I11" s="18" t="str"/>
      <x:c r="J11" s="16"/>
      <x:c r="K11" s="16"/>
      <x:c r="L11" s="18" t="str">
        <x:v>A/B</x:v>
      </x:c>
      <x:c r="M11" s="22"/>
      <x:c r="N11" s="23" t="str">
        <x: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x:f>
        <x:v>待填写</x:v>
      </x:c>
      <x:c r="O11" s="16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 ht="33" customHeight="1">
      <x:c r="A12" s="18" t="str">
        <x:v>C-07</x:v>
      </x:c>
      <x:c r="B12" s="19" t="n">
        <x:v>46284.75</x:v>
      </x:c>
      <x:c r="C12" s="12" t="str">
        <x:v>白名单QueryPlan</x:v>
      </x:c>
      <x:c r="D12" s="12" t="str">
        <x:v>自然语言不生成SQL，未知字段被拒绝</x:v>
      </x:c>
      <x:c r="E12" s="18" t="str">
        <x:v>是非</x:v>
      </x:c>
      <x:c r="F12" s="18" t="str">
        <x:v>=</x:v>
      </x:c>
      <x:c r="G12" s="20" t="str">
        <x:v>是</x:v>
      </x:c>
      <x:c r="H12" s="21"/>
      <x:c r="I12" s="18" t="str"/>
      <x:c r="J12" s="16"/>
      <x:c r="K12" s="16"/>
      <x:c r="L12" s="18" t="str">
        <x:v>A/B</x:v>
      </x:c>
      <x:c r="M12" s="22"/>
      <x:c r="N12" s="23" t="str">
        <x: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x:f>
        <x:v>待填写</x:v>
      </x:c>
      <x:c r="O12" s="16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 ht="33" customHeight="1">
      <x:c r="A13" s="18" t="str">
        <x:v>C-08</x:v>
      </x:c>
      <x:c r="B13" s="19" t="n">
        <x:v>46284.75</x:v>
      </x:c>
      <x:c r="C13" s="12" t="str">
        <x:v>模型关闭降级</x:v>
      </x:c>
      <x:c r="D13" s="12" t="str">
        <x:v>显示degraded提示，传统查询继续</x:v>
      </x:c>
      <x:c r="E13" s="18" t="str">
        <x:v>是非</x:v>
      </x:c>
      <x:c r="F13" s="18" t="str">
        <x:v>=</x:v>
      </x:c>
      <x:c r="G13" s="20" t="str">
        <x:v>是</x:v>
      </x:c>
      <x:c r="H13" s="21"/>
      <x:c r="I13" s="18" t="str"/>
      <x:c r="J13" s="16"/>
      <x:c r="K13" s="16"/>
      <x:c r="L13" s="18" t="str">
        <x:v>A/B</x:v>
      </x:c>
      <x:c r="M13" s="22"/>
      <x:c r="N13" s="23" t="str">
        <x: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x:f>
        <x:v>待填写</x:v>
      </x:c>
      <x:c r="O13" s="16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 ht="33" customHeight="1">
      <x:c r="A14" s="18" t="str">
        <x:v>C-09</x:v>
      </x:c>
      <x:c r="B14" s="19" t="n">
        <x:v>46285.625</x:v>
      </x:c>
      <x:c r="C14" s="12" t="str">
        <x:v>记录来源可追溯率</x:v>
      </x:c>
      <x:c r="D14" s="12" t="str">
        <x:v>展示记录均可追溯文章或海报证据</x:v>
      </x:c>
      <x:c r="E14" s="18" t="str">
        <x:v>数值</x:v>
      </x:c>
      <x:c r="F14" s="18" t="str">
        <x:v>&gt;=</x:v>
      </x:c>
      <x:c r="G14" s="20" t="n">
        <x:v>100</x:v>
      </x:c>
      <x:c r="H14" s="21"/>
      <x:c r="I14" s="18" t="str">
        <x:v>%</x:v>
      </x:c>
      <x:c r="J14" s="16"/>
      <x:c r="K14" s="16"/>
      <x:c r="L14" s="18" t="str">
        <x:v>A/B</x:v>
      </x:c>
      <x:c r="M14" s="22"/>
      <x:c r="N14" s="23" t="str">
        <x: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x:f>
        <x:v>待填写</x:v>
      </x:c>
      <x:c r="O14" s="16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 ht="33" customHeight="1">
      <x:c r="A15" s="18" t="str">
        <x:v>C-10</x:v>
      </x:c>
      <x:c r="B15" s="19" t="n">
        <x:v>46285.625</x:v>
      </x:c>
      <x:c r="C15" s="12" t="str">
        <x:v>性能查询次数</x:v>
      </x:c>
      <x:c r="D15" s="12" t="str">
        <x:v>使用100行脱敏夹具连续测试</x:v>
      </x:c>
      <x:c r="E15" s="18" t="str">
        <x:v>数值</x:v>
      </x:c>
      <x:c r="F15" s="18" t="str">
        <x:v>&gt;=</x:v>
      </x:c>
      <x:c r="G15" s="20" t="n">
        <x:v>30</x:v>
      </x:c>
      <x:c r="H15" s="21"/>
      <x:c r="I15" s="18" t="str">
        <x:v>次</x:v>
      </x:c>
      <x:c r="J15" s="16"/>
      <x:c r="K15" s="16"/>
      <x:c r="L15" s="18" t="str">
        <x:v>A/B</x:v>
      </x:c>
      <x:c r="M15" s="22"/>
      <x:c r="N15" s="23" t="str">
        <x: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x:f>
        <x:v>待填写</x:v>
      </x:c>
      <x:c r="O15" s="16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 ht="33" customHeight="1">
      <x:c r="A16" s="18" t="str">
        <x:v>C-11</x:v>
      </x:c>
      <x:c r="B16" s="19" t="n">
        <x:v>46285.625</x:v>
      </x:c>
      <x:c r="C16" s="12" t="str">
        <x:v>最大查询耗时</x:v>
      </x:c>
      <x:c r="D16" s="12" t="str">
        <x:v>30次普通查询中的最大值</x:v>
      </x:c>
      <x:c r="E16" s="18" t="str">
        <x:v>数值</x:v>
      </x:c>
      <x:c r="F16" s="18" t="str">
        <x:v>&lt;=</x:v>
      </x:c>
      <x:c r="G16" s="20" t="n">
        <x:v>1</x:v>
      </x:c>
      <x:c r="H16" s="21"/>
      <x:c r="I16" s="18" t="str">
        <x:v>秒</x:v>
      </x:c>
      <x:c r="J16" s="16"/>
      <x:c r="K16" s="16"/>
      <x:c r="L16" s="18" t="str">
        <x:v>A/B</x:v>
      </x:c>
      <x:c r="M16" s="22"/>
      <x:c r="N16" s="23" t="str">
        <x: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x:f>
        <x:v>待填写</x:v>
      </x:c>
      <x:c r="O16" s="16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 ht="33" customHeight="1">
      <x:c r="A17" s="18" t="str">
        <x:v>C-12</x:v>
      </x:c>
      <x:c r="B17" s="19" t="n">
        <x:v>46285.625</x:v>
      </x:c>
      <x:c r="C17" s="12" t="str">
        <x:v>P95查询耗时</x:v>
      </x:c>
      <x:c r="D17" s="12" t="str">
        <x:v>30次普通查询的P95</x:v>
      </x:c>
      <x:c r="E17" s="18" t="str">
        <x:v>数值</x:v>
      </x:c>
      <x:c r="F17" s="18" t="str">
        <x:v>&lt;=</x:v>
      </x:c>
      <x:c r="G17" s="20" t="n">
        <x:v>1</x:v>
      </x:c>
      <x:c r="H17" s="21"/>
      <x:c r="I17" s="18" t="str">
        <x:v>秒</x:v>
      </x:c>
      <x:c r="J17" s="16"/>
      <x:c r="K17" s="16"/>
      <x:c r="L17" s="18" t="str">
        <x:v>A/B</x:v>
      </x:c>
      <x:c r="M17" s="22"/>
      <x:c r="N17" s="23" t="str">
        <x: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x:f>
        <x:v>待填写</x:v>
      </x:c>
      <x:c r="O17" s="16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 ht="33" customHeight="1">
      <x:c r="A18" s="18" t="str">
        <x:v>C-13</x:v>
      </x:c>
      <x:c r="B18" s="19" t="n">
        <x:v>46285.625</x:v>
      </x:c>
      <x:c r="C18" s="12" t="str">
        <x:v>局域网另一设备访问</x:v>
      </x:c>
      <x:c r="D18" s="12" t="str">
        <x:v>首页、搜索和详情均成功</x:v>
      </x:c>
      <x:c r="E18" s="18" t="str">
        <x:v>是非</x:v>
      </x:c>
      <x:c r="F18" s="18" t="str">
        <x:v>=</x:v>
      </x:c>
      <x:c r="G18" s="20" t="str">
        <x:v>是</x:v>
      </x:c>
      <x:c r="H18" s="21"/>
      <x:c r="I18" s="18" t="str"/>
      <x:c r="J18" s="16"/>
      <x:c r="K18" s="16"/>
      <x:c r="L18" s="18" t="str">
        <x:v>A/B</x:v>
      </x:c>
      <x:c r="M18" s="22"/>
      <x:c r="N18" s="23" t="str">
        <x: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x:f>
        <x:v>待填写</x:v>
      </x:c>
      <x:c r="O18" s="16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 ht="33" customHeight="1">
      <x:c r="A19" s="18" t="str">
        <x:v>C-14</x:v>
      </x:c>
      <x:c r="B19" s="19" t="n">
        <x:v>46285.625</x:v>
      </x:c>
      <x:c r="C19" s="12" t="str">
        <x:v>公开响应敏感字段命中</x:v>
      </x:c>
      <x:c r="D19" s="12" t="str">
        <x:v>姓名、private_ref、Cookie、密钥、堆栈为0</x:v>
      </x:c>
      <x:c r="E19" s="18" t="str">
        <x:v>数值</x:v>
      </x:c>
      <x:c r="F19" s="18" t="str">
        <x:v>=</x:v>
      </x:c>
      <x:c r="G19" s="20" t="n">
        <x:v>0</x:v>
      </x:c>
      <x:c r="H19" s="21"/>
      <x:c r="I19" s="18" t="str">
        <x:v>项</x:v>
      </x:c>
      <x:c r="J19" s="16"/>
      <x:c r="K19" s="16"/>
      <x:c r="L19" s="18" t="str">
        <x:v>A/B</x:v>
      </x:c>
      <x:c r="M19" s="22"/>
      <x:c r="N19" s="23" t="str">
        <x: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x:f>
        <x:v>待填写</x:v>
      </x:c>
      <x:c r="O19" s="16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 ht="33" customHeight="1">
      <x:c r="A20" s="18" t="str">
        <x:v>C-15</x:v>
      </x:c>
      <x:c r="B20" s="19" t="n">
        <x:v>46285.916666666664</x:v>
      </x:c>
      <x:c r="C20" s="12" t="str">
        <x:v>演示流程完成步骤</x:v>
      </x:c>
      <x:c r="D20" s="12" t="str">
        <x:v>总体手册10步全部录屏复现</x:v>
      </x:c>
      <x:c r="E20" s="18" t="str">
        <x:v>数值</x:v>
      </x:c>
      <x:c r="F20" s="18" t="str">
        <x:v>&gt;=</x:v>
      </x:c>
      <x:c r="G20" s="20" t="n">
        <x:v>10</x:v>
      </x:c>
      <x:c r="H20" s="21"/>
      <x:c r="I20" s="18" t="str">
        <x:v>步</x:v>
      </x:c>
      <x:c r="J20" s="16"/>
      <x:c r="K20" s="16"/>
      <x:c r="L20" s="18" t="str">
        <x:v>A/B</x:v>
      </x:c>
      <x:c r="M20" s="22"/>
      <x:c r="N20" s="23" t="str">
        <x: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x:f>
        <x:v>待填写</x:v>
      </x:c>
      <x:c r="O20" s="16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 ht="33" customHeight="1">
      <x:c r="A21" s="18" t="str">
        <x:v>C-16</x:v>
      </x:c>
      <x:c r="B21" s="19" t="n">
        <x:v>46285.99930555555</x:v>
      </x:c>
      <x:c r="C21" s="12" t="str">
        <x:v>PR与队友检查</x:v>
      </x:c>
      <x:c r="D21" s="12" t="str">
        <x:v>所有合并有PR且main可运行</x:v>
      </x:c>
      <x:c r="E21" s="18" t="str">
        <x:v>是非</x:v>
      </x:c>
      <x:c r="F21" s="18" t="str">
        <x:v>=</x:v>
      </x:c>
      <x:c r="G21" s="20" t="str">
        <x:v>是</x:v>
      </x:c>
      <x:c r="H21" s="21"/>
      <x:c r="I21" s="18" t="str"/>
      <x:c r="J21" s="16"/>
      <x:c r="K21" s="16"/>
      <x:c r="L21" s="18" t="str">
        <x:v>A/B</x:v>
      </x:c>
      <x:c r="M21" s="22"/>
      <x:c r="N21" s="23" t="str">
        <x: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x:f>
        <x:v>待填写</x:v>
      </x:c>
      <x:c r="O21" s="16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 ht="33" customHeight="1">
      <x:c r="A22" s="18" t="str">
        <x:v>C-17</x:v>
      </x:c>
      <x:c r="B22" s="19" t="n">
        <x:v>46285.99930555555</x:v>
      </x:c>
      <x:c r="C22" s="12" t="str">
        <x:v>公共HTTPS测试URL</x:v>
      </x:c>
      <x:c r="D22" s="12" t="str">
        <x:v>公网可打开首页并完成传统检索</x:v>
      </x:c>
      <x:c r="E22" s="18" t="str">
        <x:v>是非</x:v>
      </x:c>
      <x:c r="F22" s="18" t="str">
        <x:v>=</x:v>
      </x:c>
      <x:c r="G22" s="20" t="str">
        <x:v>是</x:v>
      </x:c>
      <x:c r="H22" s="21"/>
      <x:c r="I22" s="18" t="str"/>
      <x:c r="J22" s="16"/>
      <x:c r="K22" s="16"/>
      <x:c r="L22" s="18" t="str">
        <x:v>A/B</x:v>
      </x:c>
      <x:c r="M22" s="22"/>
      <x:c r="N22" s="23" t="str">
        <x:f>IF(H22="","待填写",IF(OR(J22="",K22=""),"缺证据",IF(M22="","待接收",IF(E22="数值",IF(IF(F22="&gt;=",H22&gt;=G22,IF(F22="&lt;=",H22&lt;=G22,H22=G22)),IF(M22="通过","通过",IF(M22="退回","退回","待接收")),"未达标"),IF(E22="结论",IF(OR(H22="启用",H22="不启用"),IF(M22="通过","通过",IF(M22="退回","退回","待接收")),"未达标"),IF(H22=G22,IF(M22="通过","通过",IF(M22="退回","退回","待接收")),"未达标"))))))</x:f>
        <x:v>待填写</x:v>
      </x:c>
      <x:c r="O22" s="16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 ht="33" customHeight="1">
      <x:c r="A23" s="18" t="str">
        <x:v>C-18</x:v>
      </x:c>
      <x:c r="B23" s="19" t="n">
        <x:v>46285.99930555555</x:v>
      </x:c>
      <x:c r="C23" s="12" t="str">
        <x:v>健康检查</x:v>
      </x:c>
      <x:c r="D23" s="12" t="str">
        <x:v>公共GET /healthz返回2xx并报告组件状态</x:v>
      </x:c>
      <x:c r="E23" s="18" t="str">
        <x:v>是非</x:v>
      </x:c>
      <x:c r="F23" s="18" t="str">
        <x:v>=</x:v>
      </x:c>
      <x:c r="G23" s="20" t="str">
        <x:v>是</x:v>
      </x:c>
      <x:c r="H23" s="21"/>
      <x:c r="I23" s="18" t="str"/>
      <x:c r="J23" s="16"/>
      <x:c r="K23" s="16"/>
      <x:c r="L23" s="18" t="str">
        <x:v>A/B</x:v>
      </x:c>
      <x:c r="M23" s="22"/>
      <x:c r="N23" s="23" t="str">
        <x:f>IF(H23="","待填写",IF(OR(J23="",K23=""),"缺证据",IF(M23="","待接收",IF(E23="数值",IF(IF(F23="&gt;=",H23&gt;=G23,IF(F23="&lt;=",H23&lt;=G23,H23=G23)),IF(M23="通过","通过",IF(M23="退回","退回","待接收")),"未达标"),IF(E23="结论",IF(OR(H23="启用",H23="不启用"),IF(M23="通过","通过",IF(M23="退回","退回","待接收")),"未达标"),IF(H23=G23,IF(M23="通过","通过",IF(M23="退回","退回","待接收")),"未达标"))))))</x:f>
        <x:v>待填写</x:v>
      </x:c>
      <x:c r="O23" s="16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 ht="33" customHeight="1">
      <x:c r="A24" s="18" t="str">
        <x:v>C-19</x:v>
      </x:c>
      <x:c r="B24" s="19" t="n">
        <x:v>46285.625</x:v>
      </x:c>
      <x:c r="C24" s="12" t="str">
        <x:v>三角色服务端权限</x:v>
      </x:c>
      <x:c r="D24" s="12" t="str">
        <x:v>guest、student/teacher、admin与越权拒绝全部通过</x:v>
      </x:c>
      <x:c r="E24" s="18" t="str">
        <x:v>是非</x:v>
      </x:c>
      <x:c r="F24" s="18" t="str">
        <x:v>=</x:v>
      </x:c>
      <x:c r="G24" s="20" t="str">
        <x:v>是</x:v>
      </x:c>
      <x:c r="H24" s="21"/>
      <x:c r="I24" s="18" t="str"/>
      <x:c r="J24" s="16"/>
      <x:c r="K24" s="16"/>
      <x:c r="L24" s="18" t="str">
        <x:v>A/B</x:v>
      </x:c>
      <x:c r="M24" s="22"/>
      <x:c r="N24" s="23" t="str">
        <x:f>IF(H24="","待填写",IF(OR(J24="",K24=""),"缺证据",IF(M24="","待接收",IF(E24="数值",IF(IF(F24="&gt;=",H24&gt;=G24,IF(F24="&lt;=",H24&lt;=G24,H24=G24)),IF(M24="通过","通过",IF(M24="退回","退回","待接收")),"未达标"),IF(E24="结论",IF(OR(H24="启用",H24="不启用"),IF(M24="通过","通过",IF(M24="退回","退回","待接收")),"未达标"),IF(H24=G24,IF(M24="通过","通过",IF(M24="退回","退回","待接收")),"未达标"))))))</x:f>
        <x:v>待填写</x:v>
      </x:c>
      <x:c r="O24" s="16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 ht="33" customHeight="1">
      <x:c r="A25" s="18" t="str">
        <x:v>C-20</x:v>
      </x:c>
      <x:c r="B25" s="19" t="n">
        <x:v>46285.625</x:v>
      </x:c>
      <x:c r="C25" s="12" t="str">
        <x:v>Evidence-RAG三路径</x:v>
      </x:c>
      <x:c r="D25" s="12" t="str">
        <x:v>模型开启、关闭、证据缺失均按契约响应</x:v>
      </x:c>
      <x:c r="E25" s="18" t="str">
        <x:v>是非</x:v>
      </x:c>
      <x:c r="F25" s="18" t="str">
        <x:v>=</x:v>
      </x:c>
      <x:c r="G25" s="20" t="str">
        <x:v>是</x:v>
      </x:c>
      <x:c r="H25" s="21"/>
      <x:c r="I25" s="18" t="str"/>
      <x:c r="J25" s="16"/>
      <x:c r="K25" s="16"/>
      <x:c r="L25" s="18" t="str">
        <x:v>A/B</x:v>
      </x:c>
      <x:c r="M25" s="22"/>
      <x:c r="N25" s="23" t="str">
        <x:f>IF(H25="","待填写",IF(OR(J25="",K25=""),"缺证据",IF(M25="","待接收",IF(E25="数值",IF(IF(F25="&gt;=",H25&gt;=G25,IF(F25="&lt;=",H25&lt;=G25,H25=G25)),IF(M25="通过","通过",IF(M25="退回","退回","待接收")),"未达标"),IF(E25="结论",IF(OR(H25="启用",H25="不启用"),IF(M25="通过","通过",IF(M25="退回","退回","待接收")),"未达标"),IF(H25=G25,IF(M25="通过","通过",IF(M25="退回","退回","待接收")),"未达标"))))))</x:f>
        <x:v>待填写</x:v>
      </x:c>
      <x:c r="O25" s="16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 ht="33" customHeight="1">
      <x:c r="A26" s="18" t="str">
        <x:v>C-21</x:v>
      </x:c>
      <x:c r="B26" s="19" t="n">
        <x:v>46285.625</x:v>
      </x:c>
      <x:c r="C26" s="12" t="str">
        <x:v>390×844移动视口</x:v>
      </x:c>
      <x:c r="D26" s="12" t="str">
        <x:v>首页、筛选、详情、证据和角色切换无横向溢出</x:v>
      </x:c>
      <x:c r="E26" s="18" t="str">
        <x:v>是非</x:v>
      </x:c>
      <x:c r="F26" s="18" t="str">
        <x:v>=</x:v>
      </x:c>
      <x:c r="G26" s="20" t="str">
        <x:v>是</x:v>
      </x:c>
      <x:c r="H26" s="21"/>
      <x:c r="I26" s="18" t="str"/>
      <x:c r="J26" s="16"/>
      <x:c r="K26" s="16"/>
      <x:c r="L26" s="18" t="str">
        <x:v>A/B</x:v>
      </x:c>
      <x:c r="M26" s="22"/>
      <x:c r="N26" s="23" t="str">
        <x:f>IF(H26="","待填写",IF(OR(J26="",K26=""),"缺证据",IF(M26="","待接收",IF(E26="数值",IF(IF(F26="&gt;=",H26&gt;=G26,IF(F26="&lt;=",H26&lt;=G26,H26=G26)),IF(M26="通过","通过",IF(M26="退回","退回","待接收")),"未达标"),IF(E26="结论",IF(OR(H26="启用",H26="不启用"),IF(M26="通过","通过",IF(M26="退回","退回","待接收")),"未达标"),IF(H26=G26,IF(M26="通过","通过",IF(M26="退回","退回","待接收")),"未达标"))))))</x:f>
        <x:v>待填写</x:v>
      </x:c>
      <x:c r="O26" s="16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 ht="33" customHeight="1">
      <x:c r="A27" s="18" t="str">
        <x:v>C-22</x:v>
      </x:c>
      <x:c r="B27" s="19" t="n">
        <x:v>46285.625</x:v>
      </x:c>
      <x:c r="C27" s="12" t="str">
        <x:v>768×1024平板视口</x:v>
      </x:c>
      <x:c r="D27" s="12" t="str">
        <x:v>首页、筛选、详情、证据和角色切换可操作</x:v>
      </x:c>
      <x:c r="E27" s="18" t="str">
        <x:v>是非</x:v>
      </x:c>
      <x:c r="F27" s="18" t="str">
        <x:v>=</x:v>
      </x:c>
      <x:c r="G27" s="20" t="str">
        <x:v>是</x:v>
      </x:c>
      <x:c r="H27" s="21"/>
      <x:c r="I27" s="18" t="str"/>
      <x:c r="J27" s="16"/>
      <x:c r="K27" s="16"/>
      <x:c r="L27" s="18" t="str">
        <x:v>A/B</x:v>
      </x:c>
      <x:c r="M27" s="22"/>
      <x:c r="N27" s="23" t="str">
        <x:f>IF(H27="","待填写",IF(OR(J27="",K27=""),"缺证据",IF(M27="","待接收",IF(E27="数值",IF(IF(F27="&gt;=",H27&gt;=G27,IF(F27="&lt;=",H27&lt;=G27,H27=G27)),IF(M27="通过","通过",IF(M27="退回","退回","待接收")),"未达标"),IF(E27="结论",IF(OR(H27="启用",H27="不启用"),IF(M27="通过","通过",IF(M27="退回","退回","待接收")),"未达标"),IF(H27=G27,IF(M27="通过","通过",IF(M27="退回","退回","待接收")),"未达标"))))))</x:f>
        <x:v>待填写</x:v>
      </x:c>
      <x:c r="O27" s="16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N6:N27">
    <x:cfRule type="containsText" dxfId="8" priority="1" operator="containsText" text="通过"/>
    <x:cfRule type="containsText" dxfId="9" priority="2" operator="containsText" text="未达标"/>
    <x:cfRule type="containsText" dxfId="10" priority="3" operator="containsText" text="退回"/>
    <x:cfRule type="containsText" dxfId="11" priority="4" operator="containsText" text="缺证据"/>
  </x:conditionalFormatting>
  <x:dataValidations count="1">
    <x:dataValidation type="list" sqref="M6:M27">
      <x:formula1>"未确认,通过,退回"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75" hidden="0" customWidth="1"/>
    <x:col min="2" max="2" width="8.130000114440918" hidden="0" customWidth="1"/>
    <x:col min="3" max="3" width="22.5" hidden="0" customWidth="1"/>
    <x:col min="4" max="4" width="15.630000114440918" hidden="0" customWidth="1"/>
    <x:col min="5" max="5" width="19.3799991607666" hidden="0" customWidth="1"/>
    <x:col min="6" max="6" width="8.75" hidden="0" customWidth="1"/>
    <x:col min="7" max="7" width="26.25" hidden="0" customWidth="1"/>
    <x:col min="8" max="8" width="28.75" hidden="0" customWidth="1"/>
    <x:col min="9" max="9" width="15.630000114440918" hidden="0" customWidth="1"/>
    <x:col min="10" max="10" width="9.380000114440918" hidden="0" customWidth="1"/>
    <x:col min="11" max="11" width="23.75" hidden="0" customWidth="1"/>
    <x:col min="12" max="12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协作交接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生产者与接收者在角色进度文件登记；C在4小时窗口内统一回填黄色单元格。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交接ID</x:v>
      </x:c>
      <x:c r="B5" s="9" t="str">
        <x:v>生产者</x:v>
      </x:c>
      <x:c r="C5" s="9" t="str">
        <x:v>输出</x:v>
      </x:c>
      <x:c r="D5" s="9" t="str">
        <x:v>最晚时间</x:v>
      </x:c>
      <x:c r="E5" s="9" t="str">
        <x:v>版本或Commit</x:v>
      </x:c>
      <x:c r="F5" s="9" t="str">
        <x:v>接收者</x:v>
      </x:c>
      <x:c r="G5" s="9" t="str">
        <x:v>接收方式</x:v>
      </x:c>
      <x:c r="H5" s="9" t="str">
        <x:v>接收验收</x:v>
      </x:c>
      <x:c r="I5" s="9" t="str">
        <x:v>接收时间</x:v>
      </x:c>
      <x:c r="J5" s="9" t="str">
        <x:v>结果</x:v>
      </x:c>
      <x:c r="K5" s="9" t="str">
        <x:v>问题与处理</x:v>
      </x:c>
      <x:c r="L5" s="9" t="str">
        <x:v>证据链接</x:v>
      </x:c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H-01</x:v>
      </x:c>
      <x:c r="B6" s="12" t="str">
        <x:v>C</x:v>
      </x:c>
      <x:c r="C6" s="12" t="str">
        <x:v>接口字典和两份Schema</x:v>
      </x:c>
      <x:c r="D6" s="13" t="n">
        <x:v>46282.5</x:v>
      </x:c>
      <x:c r="E6" s="16"/>
      <x:c r="F6" s="12" t="str">
        <x:v>A/B</x:v>
      </x:c>
      <x:c r="G6" s="12" t="str">
        <x:v>git pull main后本地校验示例</x:v>
      </x:c>
      <x:c r="H6" s="12" t="str">
        <x:v>非法字段失败，合法示例通过</x:v>
      </x:c>
      <x:c r="I6" s="24"/>
      <x:c r="J6" s="16"/>
      <x:c r="K6" s="16"/>
      <x:c r="L6" s="16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H-02</x:v>
      </x:c>
      <x:c r="B7" s="12" t="str">
        <x:v>A</x:v>
      </x:c>
      <x:c r="C7" s="12" t="str">
        <x:v>5篇article bundle</x:v>
      </x:c>
      <x:c r="D7" s="13" t="n">
        <x:v>46282.75</x:v>
      </x:c>
      <x:c r="E7" s="16"/>
      <x:c r="F7" s="12" t="str">
        <x:v>B/C</x:v>
      </x:c>
      <x:c r="G7" s="12" t="str">
        <x:v>按commit拉取；原图走受控渠道</x:v>
      </x:c>
      <x:c r="H7" s="12" t="str">
        <x:v>5/5 Schema通过，SHA-256相符；22:00前完成接收</x:v>
      </x:c>
      <x:c r="I7" s="24"/>
      <x:c r="J7" s="16"/>
      <x:c r="K7" s="16"/>
      <x:c r="L7" s="16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H-03</x:v>
      </x:c>
      <x:c r="B8" s="12" t="str">
        <x:v>A</x:v>
      </x:c>
      <x:c r="C8" s="12" t="str">
        <x:v>100篇状态台账</x:v>
      </x:c>
      <x:c r="D8" s="13" t="n">
        <x:v>46283.916666666664</x:v>
      </x:c>
      <x:c r="E8" s="16"/>
      <x:c r="F8" s="12" t="str">
        <x:v>C</x:v>
      </x:c>
      <x:c r="G8" s="12" t="str">
        <x:v>导入articles和processing_events</x:v>
      </x:c>
      <x:c r="H8" s="12" t="str">
        <x:v>无重复notice_id，失败均有原因</x:v>
      </x:c>
      <x:c r="I8" s="24"/>
      <x:c r="J8" s="16"/>
      <x:c r="K8" s="16"/>
      <x:c r="L8" s="16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2" t="str">
        <x:v>H-04</x:v>
      </x:c>
      <x:c r="B9" s="12" t="str">
        <x:v>B</x:v>
      </x:c>
      <x:c r="C9" s="12" t="str">
        <x:v>5篇extraction bundle</x:v>
      </x:c>
      <x:c r="D9" s="13" t="n">
        <x:v>46284.5</x:v>
      </x:c>
      <x:c r="E9" s="16"/>
      <x:c r="F9" s="12" t="str">
        <x:v>C</x:v>
      </x:c>
      <x:c r="G9" s="12" t="str">
        <x:v>按commit导入</x:v>
      </x:c>
      <x:c r="H9" s="12" t="str">
        <x:v>一帖多人、null、证据和状态正确</x:v>
      </x:c>
      <x:c r="I9" s="24"/>
      <x:c r="J9" s="16"/>
      <x:c r="K9" s="16"/>
      <x:c r="L9" s="16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2" t="str">
        <x:v>H-05</x:v>
      </x:c>
      <x:c r="B10" s="12" t="str">
        <x:v>B</x:v>
      </x:c>
      <x:c r="C10" s="12" t="str">
        <x:v>20样本评测</x:v>
      </x:c>
      <x:c r="D10" s="13" t="n">
        <x:v>46284.75</x:v>
      </x:c>
      <x:c r="E10" s="16"/>
      <x:c r="F10" s="12" t="str">
        <x:v>C</x:v>
      </x:c>
      <x:c r="G10" s="12" t="str">
        <x:v>读取原始结果和汇总</x:v>
      </x:c>
      <x:c r="H10" s="12" t="str">
        <x:v>分子分母可重算，启用结论符合门槛</x:v>
      </x:c>
      <x:c r="I10" s="24"/>
      <x:c r="J10" s="16"/>
      <x:c r="K10" s="16"/>
      <x:c r="L10" s="16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>
      <x:c r="A11" s="12" t="str">
        <x:v>H-06</x:v>
      </x:c>
      <x:c r="B11" s="12" t="str">
        <x:v>C</x:v>
      </x:c>
      <x:c r="C11" s="12" t="str">
        <x:v>HTTPS与局域网灾备演示包</x:v>
      </x:c>
      <x:c r="D11" s="13" t="n">
        <x:v>46285.625</x:v>
      </x:c>
      <x:c r="E11" s="16"/>
      <x:c r="F11" s="12" t="str">
        <x:v>A/B</x:v>
      </x:c>
      <x:c r="G11" s="12" t="str">
        <x:v>分别走公网和局域网关键流程</x:v>
      </x:c>
      <x:c r="H11" s="12" t="str">
        <x:v>健康、权限、证据、移动端、降级和恢复均通过</x:v>
      </x:c>
      <x:c r="I11" s="24"/>
      <x:c r="J11" s="16"/>
      <x:c r="K11" s="16"/>
      <x:c r="L11" s="16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dataValidations count="1">
    <x:dataValidation type="list" sqref="J6:J11">
      <x:formula1>"未接收,通过,退回"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4" topLeftCell="C15" activePane="bottomRight" state="frozen"/>
    </x:sheetView>
  </x:sheetViews>
  <x:sheetFormatPr defaultRowHeight="15"/>
  <x:cols>
    <x:col min="1" max="1" width="8.75" hidden="0" customWidth="1"/>
    <x:col min="2" max="2" width="26.25" hidden="0" customWidth="1"/>
    <x:col min="3" max="3" width="13.130000114440918" hidden="0" customWidth="1"/>
    <x:col min="4" max="4" width="13.130000114440918" hidden="0" customWidth="1"/>
    <x:col min="5" max="5" width="16.25" hidden="0" customWidth="1"/>
    <x:col min="6" max="6" width="13.130000114440918" hidden="0" customWidth="1"/>
    <x:col min="7" max="7" width="18.75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10.25" hidden="0" customWidth="1"/>
    <x:col min="14" max="14" width="9.380000114440918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.880000114440918" hidden="0" customWidth="1"/>
    <x:col min="21" max="21" width="10.630000114440918" hidden="0" customWidth="1"/>
    <x:col min="22" max="22" width="11.25" hidden="0" customWidth="1"/>
    <x:col min="23" max="23" width="23.75" hidden="0" customWidth="1"/>
    <x:col min="24" max="24" width="11.25" hidden="0" customWidth="1"/>
    <x:col min="25" max="25" width="11.25" hidden="0" customWidth="1"/>
    <x:col min="26" max="26" width="13.130000114440918" hidden="0" customWidth="1"/>
    <x:col min="27" max="27" width="11.880000114440918" hidden="0" customWidth="1"/>
    <x:col min="28" max="28" width="13.130000114440918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20张海报评测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先冻结人工金标准，再在同一20张样本上填写OCR和多模态结果。SHA-256须为64位十六进制；学历使用下拉枚举；正确填1，错误填0。C将本表结论回链到B验收。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指标</x:v>
      </x:c>
      <x:c r="B5" s="9" t="str">
        <x:v>OCR正确数</x:v>
      </x:c>
      <x:c r="C5" s="9" t="str">
        <x:v>OCR分母</x:v>
      </x:c>
      <x:c r="D5" s="9" t="str">
        <x:v>OCR准确率</x:v>
      </x:c>
      <x:c r="E5" s="9" t="str">
        <x:v>多模态正确数</x:v>
      </x:c>
      <x:c r="F5" s="9" t="str">
        <x:v>多模态分母</x:v>
      </x:c>
      <x:c r="G5" s="9" t="str">
        <x:v>多模态准确率</x:v>
      </x:c>
      <x:c r="H5" s="9" t="str">
        <x:v>结论</x:v>
      </x:c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届别</x:v>
      </x:c>
      <x:c r="B6" s="12" t="str">
        <x:f>IF(COUNT(H15:H34)=0,"",SUM(H15:H34))</x:f>
      </x:c>
      <x:c r="C6" s="12" t="str">
        <x:f>IF(COUNT(H15:H34)=0,"",COUNT(H15:H34))</x:f>
      </x:c>
      <x:c r="D6" s="25" t="str">
        <x:f>IF(C6=0,"",B6/C6)</x:f>
      </x:c>
      <x:c r="E6" s="12" t="str">
        <x:f>IF(COUNT(O15:O34)=0,"",SUM(O15:O34))</x:f>
      </x:c>
      <x:c r="F6" s="12" t="str">
        <x:f>IF(COUNT(O15:O34)=0,"",COUNT(O15:O34))</x:f>
      </x:c>
      <x:c r="G6" s="25" t="str">
        <x:f>IF(F6=0,"",E6/F6)</x:f>
      </x:c>
      <x:c r="H6" s="12" t="str">
        <x:f>IF(COUNTIF($AA$15:$AA$34,"通过")&lt;20,"金标准未完成",IF(COUNTIF($AB$15:$AB$34,"通过")&lt;20,"同批校验未通过",IF(OR(C6="",F6=""),"待填写",IF(OR(C6&lt;20,F6&lt;20),"样本不足",IF(AND(D6&gt;=0.9,G6&gt;=0.9),"完成","检查弱项")))))</x:f>
        <x:v>金标准未完成</x:v>
      </x:c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学历</x:v>
      </x:c>
      <x:c r="B7" s="12" t="str">
        <x:f>IF(COUNT(I15:I34)=0,"",SUM(I15:I34))</x:f>
      </x:c>
      <x:c r="C7" s="12" t="str">
        <x:f>IF(COUNT(I15:I34)=0,"",COUNT(I15:I34))</x:f>
      </x:c>
      <x:c r="D7" s="25" t="str">
        <x:f>IF(C7=0,"",B7/C7)</x:f>
      </x:c>
      <x:c r="E7" s="12" t="str">
        <x:f>IF(COUNT(P15:P34)=0,"",SUM(P15:P34))</x:f>
      </x:c>
      <x:c r="F7" s="12" t="str">
        <x:f>IF(COUNT(P15:P34)=0,"",COUNT(P15:P34))</x:f>
      </x:c>
      <x:c r="G7" s="25" t="str">
        <x:f>IF(F7=0,"",E7/F7)</x:f>
      </x:c>
      <x:c r="H7" s="12" t="str">
        <x:f>IF(COUNTIF($AA$15:$AA$34,"通过")&lt;20,"金标准未完成",IF(COUNTIF($AB$15:$AB$34,"通过")&lt;20,"同批校验未通过",IF(OR(C7="",F7=""),"待填写",IF(OR(C7&lt;20,F7&lt;20),"样本不足",IF(AND(D7&gt;=0.9,G7&gt;=0.9),"完成","检查弱项")))))</x:f>
        <x:v>金标准未完成</x:v>
      </x:c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专业</x:v>
      </x:c>
      <x:c r="B8" s="12" t="str">
        <x:f>IF(COUNT(J15:J34)=0,"",SUM(J15:J34))</x:f>
      </x:c>
      <x:c r="C8" s="12" t="str">
        <x:f>IF(COUNT(J15:J34)=0,"",COUNT(J15:J34))</x:f>
      </x:c>
      <x:c r="D8" s="25" t="str">
        <x:f>IF(C8=0,"",B8/C8)</x:f>
      </x:c>
      <x:c r="E8" s="12" t="str">
        <x:f>IF(COUNT(Q15:Q34)=0,"",SUM(Q15:Q34))</x:f>
      </x:c>
      <x:c r="F8" s="12" t="str">
        <x:f>IF(COUNT(Q15:Q34)=0,"",COUNT(Q15:Q34))</x:f>
      </x:c>
      <x:c r="G8" s="25" t="str">
        <x:f>IF(F8=0,"",E8/F8)</x:f>
      </x:c>
      <x:c r="H8" s="12" t="str">
        <x:f>IF(COUNTIF($AA$15:$AA$34,"通过")&lt;20,"金标准未完成",IF(COUNTIF($AB$15:$AB$34,"通过")&lt;20,"同批校验未通过",IF(OR(C8="",F8=""),"待填写",IF(OR(C8&lt;20,F8&lt;20),"样本不足",IF(AND(D8&gt;=0.9,G8&gt;=0.9),"完成","检查弱项")))))</x:f>
        <x:v>金标准未完成</x:v>
      </x:c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2" t="str">
        <x:v>城市</x:v>
      </x:c>
      <x:c r="B9" s="12" t="str">
        <x:f>IF(COUNT(K15:K34)=0,"",SUM(K15:K34))</x:f>
      </x:c>
      <x:c r="C9" s="12" t="str">
        <x:f>IF(COUNT(K15:K34)=0,"",COUNT(K15:K34))</x:f>
      </x:c>
      <x:c r="D9" s="25" t="str">
        <x:f>IF(C9=0,"",B9/C9)</x:f>
      </x:c>
      <x:c r="E9" s="12" t="str">
        <x:f>IF(COUNT(R15:R34)=0,"",SUM(R15:R34))</x:f>
      </x:c>
      <x:c r="F9" s="12" t="str">
        <x:f>IF(COUNT(R15:R34)=0,"",COUNT(R15:R34))</x:f>
      </x:c>
      <x:c r="G9" s="25" t="str">
        <x:f>IF(F9=0,"",E9/F9)</x:f>
      </x:c>
      <x:c r="H9" s="12" t="str">
        <x:f>IF(COUNTIF($AA$15:$AA$34,"通过")&lt;20,"金标准未完成",IF(COUNTIF($AB$15:$AB$34,"通过")&lt;20,"同批校验未通过",IF(OR(C9="",F9=""),"待填写",IF(OR(C9&lt;20,F9&lt;20),"样本不足",IF(AND(D9&gt;=0.9,G9&gt;=0.9),"完成","检查弱项")))))</x:f>
        <x:v>金标准未完成</x:v>
      </x:c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2" t="str">
        <x:v>岗位</x:v>
      </x:c>
      <x:c r="B10" s="12" t="str">
        <x:f>IF(COUNT(L15:L34)=0,"",SUM(L15:L34))</x:f>
      </x:c>
      <x:c r="C10" s="12" t="str">
        <x:f>IF(COUNT(L15:L34)=0,"",COUNT(L15:L34))</x:f>
      </x:c>
      <x:c r="D10" s="25" t="str">
        <x:f>IF(C10=0,"",B10/C10)</x:f>
      </x:c>
      <x:c r="E10" s="12" t="str">
        <x:f>IF(COUNT(S15:S34)=0,"",SUM(S15:S34))</x:f>
      </x:c>
      <x:c r="F10" s="12" t="str">
        <x:f>IF(COUNT(S15:S34)=0,"",COUNT(S15:S34))</x:f>
      </x:c>
      <x:c r="G10" s="25" t="str">
        <x:f>IF(F10=0,"",E10/F10)</x:f>
      </x:c>
      <x:c r="H10" s="12" t="str">
        <x:f>IF(COUNTIF($AA$15:$AA$34,"通过")&lt;20,"金标准未完成",IF(COUNTIF($AB$15:$AB$34,"通过")&lt;20,"同批校验未通过",IF(OR(C10="",F10=""),"待填写",IF(OR(C10&lt;20,F10&lt;20),"样本不足",IF(AND(D10&gt;=0.9,G10&gt;=0.9),"完成","检查弱项")))))</x:f>
        <x:v>金标准未完成</x:v>
      </x:c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>
      <x:c r="A11" s="12" t="str">
        <x:v>完整记录</x:v>
      </x:c>
      <x:c r="B11" s="12" t="str">
        <x:f>IF(COUNT(M15:M34)=0,"",SUM(M15:M34))</x:f>
      </x:c>
      <x:c r="C11" s="12" t="str">
        <x:f>IF(COUNT(M15:M34)=0,"",COUNT(M15:M34))</x:f>
      </x:c>
      <x:c r="D11" s="25" t="str">
        <x:f>IF(C11=0,"",B11/C11)</x:f>
      </x:c>
      <x:c r="E11" s="12" t="str">
        <x:f>IF(COUNT(T15:T34)=0,"",SUM(T15:T34))</x:f>
      </x:c>
      <x:c r="F11" s="12" t="str">
        <x:f>IF(COUNT(T15:T34)=0,"",COUNT(T15:T34))</x:f>
      </x:c>
      <x:c r="G11" s="25" t="str">
        <x:f>IF(F11=0,"",E11/F11)</x:f>
      </x:c>
      <x:c r="H11" s="12" t="str">
        <x:f>IF(COUNTIF($AA$15:$AA$34,"通过")&lt;20,"金标准未完成",IF(COUNTIF($AB$15:$AB$34,"通过")&lt;20,"同批校验未通过",IF(OR(C11="",F11=""),"待填写",IF(OR(C11&lt;20,F11&lt;20),"样本不足",IF(AND(D11&gt;=0,G11&gt;=0),"完成","检查弱项")))))</x:f>
        <x:v>金标准未完成</x:v>
      </x:c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2" t="str">
        <x:v>多模态完整记录提升</x:v>
      </x:c>
      <x:c r="B12" s="12"/>
      <x:c r="C12" s="12"/>
      <x:c r="D12" s="25" t="str">
        <x:f>IF(OR(D11="",G11=""),"",G11-D11)</x:f>
      </x:c>
      <x:c r="E12" s="12"/>
      <x:c r="F12" s="12"/>
      <x:c r="G12" s="12"/>
      <x:c r="H12" s="12" t="str">
        <x:f>IF(OR(D11="",G11=""),"待填写",IF(G11-D11&gt;=0.05,"达到5个百分点门槛","未达到 不启用"))</x:f>
        <x:v>待填写</x:v>
      </x:c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9" t="str">
        <x:v>样本ID</x:v>
      </x:c>
      <x:c r="B14" s="9" t="str">
        <x:v>图像SHA-256</x:v>
      </x:c>
      <x:c r="C14" s="9" t="str">
        <x:v>金标准届别</x:v>
      </x:c>
      <x:c r="D14" s="9" t="str">
        <x:v>金标准学历</x:v>
      </x:c>
      <x:c r="E14" s="9" t="str">
        <x:v>金标准专业</x:v>
      </x:c>
      <x:c r="F14" s="9" t="str">
        <x:v>金标准城市</x:v>
      </x:c>
      <x:c r="G14" s="9" t="str">
        <x:v>金标准岗位</x:v>
      </x:c>
      <x:c r="H14" s="9" t="str">
        <x:v>OCR届别</x:v>
      </x:c>
      <x:c r="I14" s="9" t="str">
        <x:v>OCR学历</x:v>
      </x:c>
      <x:c r="J14" s="9" t="str">
        <x:v>OCR专业</x:v>
      </x:c>
      <x:c r="K14" s="9" t="str">
        <x:v>OCR城市</x:v>
      </x:c>
      <x:c r="L14" s="9" t="str">
        <x:v>OCR岗位</x:v>
      </x:c>
      <x:c r="M14" s="9" t="str">
        <x:v>OCR完整</x:v>
      </x:c>
      <x:c r="N14" s="9" t="str">
        <x:v>OCR秒</x:v>
      </x:c>
      <x:c r="O14" s="9" t="str">
        <x:v>多模态届别</x:v>
      </x:c>
      <x:c r="P14" s="9" t="str">
        <x:v>多模态学历</x:v>
      </x:c>
      <x:c r="Q14" s="9" t="str">
        <x:v>多模态专业</x:v>
      </x:c>
      <x:c r="R14" s="9" t="str">
        <x:v>多模态城市</x:v>
      </x:c>
      <x:c r="S14" s="9" t="str">
        <x:v>多模态岗位</x:v>
      </x:c>
      <x:c r="T14" s="9" t="str">
        <x:v>多模态完整</x:v>
      </x:c>
      <x:c r="U14" s="9" t="str">
        <x:v>多模态秒</x:v>
      </x:c>
      <x:c r="V14" s="9" t="str">
        <x:v>单张成本</x:v>
      </x:c>
      <x:c r="W14" s="9" t="str">
        <x:v>备注</x:v>
      </x:c>
      <x:c r="X14" s="9" t="str">
        <x:v>标注人</x:v>
      </x:c>
      <x:c r="Y14" s="9" t="str">
        <x:v>OCR样本ID</x:v>
      </x:c>
      <x:c r="Z14" s="9" t="str">
        <x:v>多模态样本ID</x:v>
      </x:c>
      <x:c r="AA14" s="9" t="str">
        <x:v>金标准校验</x:v>
      </x:c>
      <x:c r="AB14" s="9" t="str">
        <x:v>同批校验</x:v>
      </x:c>
    </x:row>
    <x:row r="15">
      <x:c r="A15" s="12" t="str">
        <x:v>P01</x:v>
      </x:c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  <x:c r="N15" s="31"/>
      <x:c r="O15" s="16"/>
      <x:c r="P15" s="16"/>
      <x:c r="Q15" s="16"/>
      <x:c r="R15" s="16"/>
      <x:c r="S15" s="16"/>
      <x:c r="T15" s="16"/>
      <x:c r="U15" s="31"/>
      <x:c r="V15" s="31"/>
      <x:c r="W15" s="16"/>
      <x:c r="X15" s="30"/>
      <x:c r="Y15" s="30"/>
      <x:c r="Z15" s="30"/>
      <x:c r="AA15" s="32" t="str">
        <x:f>IF(COUNTA(B15:G15,X15)=0,"待填写",IF(OR(B15="",C15="",D15="",E15="",F15="",G15="",X15=""),"缺金标准",IF(NOT(AND(LEN(B15)=64,NOT(ISERROR(DECIMAL(MID(B15,1,8),16))),NOT(ISERROR(DECIMAL(MID(B15,9,8),16))),NOT(ISERROR(DECIMAL(MID(B15,17,8),16))),NOT(ISERROR(DECIMAL(MID(B15,25,8),16))),NOT(ISERROR(DECIMAL(MID(B15,33,8),16))),NOT(ISERROR(DECIMAL(MID(B15,41,8),16))),NOT(ISERROR(DECIMAL(MID(B15,49,8),16))),NOT(ISERROR(DECIMAL(MID(B15,57,8),16))))),"SHA-256格式错误",IF(RIGHT(C15,1)&lt;&gt;"届","届别格式错误",IF(NOT(OR(D15="本科",D15="硕士",D15="硕士研究生",D15="博士",D15="博士研究生",D15="其他")),"学历枚举错误","通过")))))</x:f>
        <x:v>待填写</x:v>
      </x:c>
      <x:c r="AB15" s="32" t="str">
        <x:f>IF(AA15&lt;&gt;"通过","待填写",IF(OR(Y15="",Z15=""),"缺路线ID",IF(AND(Y15=A15,Z15=A15),"通过","样本ID不一致")))</x:f>
        <x:v>待填写</x:v>
      </x:c>
    </x:row>
    <x:row r="16">
      <x:c r="A16" s="12" t="str">
        <x:v>P02</x:v>
      </x:c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  <x:c r="N16" s="31"/>
      <x:c r="O16" s="16"/>
      <x:c r="P16" s="16"/>
      <x:c r="Q16" s="16"/>
      <x:c r="R16" s="16"/>
      <x:c r="S16" s="16"/>
      <x:c r="T16" s="16"/>
      <x:c r="U16" s="31"/>
      <x:c r="V16" s="31"/>
      <x:c r="W16" s="16"/>
      <x:c r="X16" s="30"/>
      <x:c r="Y16" s="30"/>
      <x:c r="Z16" s="30"/>
      <x:c r="AA16" s="32" t="str">
        <x:f>IF(COUNTA(B16:G16,X16)=0,"待填写",IF(OR(B16="",C16="",D16="",E16="",F16="",G16="",X16=""),"缺金标准",IF(NOT(AND(LEN(B16)=64,NOT(ISERROR(DECIMAL(MID(B16,1,8),16))),NOT(ISERROR(DECIMAL(MID(B16,9,8),16))),NOT(ISERROR(DECIMAL(MID(B16,17,8),16))),NOT(ISERROR(DECIMAL(MID(B16,25,8),16))),NOT(ISERROR(DECIMAL(MID(B16,33,8),16))),NOT(ISERROR(DECIMAL(MID(B16,41,8),16))),NOT(ISERROR(DECIMAL(MID(B16,49,8),16))),NOT(ISERROR(DECIMAL(MID(B16,57,8),16))))),"SHA-256格式错误",IF(RIGHT(C16,1)&lt;&gt;"届","届别格式错误",IF(NOT(OR(D16="本科",D16="硕士",D16="硕士研究生",D16="博士",D16="博士研究生",D16="其他")),"学历枚举错误","通过")))))</x:f>
        <x:v>待填写</x:v>
      </x:c>
      <x:c r="AB16" s="32" t="str">
        <x:f>IF(AA16&lt;&gt;"通过","待填写",IF(OR(Y16="",Z16=""),"缺路线ID",IF(AND(Y16=A16,Z16=A16),"通过","样本ID不一致")))</x:f>
        <x:v>待填写</x:v>
      </x:c>
    </x:row>
    <x:row r="17">
      <x:c r="A17" s="12" t="str">
        <x:v>P03</x:v>
      </x:c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  <x:c r="N17" s="31"/>
      <x:c r="O17" s="16"/>
      <x:c r="P17" s="16"/>
      <x:c r="Q17" s="16"/>
      <x:c r="R17" s="16"/>
      <x:c r="S17" s="16"/>
      <x:c r="T17" s="16"/>
      <x:c r="U17" s="31"/>
      <x:c r="V17" s="31"/>
      <x:c r="W17" s="16"/>
      <x:c r="X17" s="30"/>
      <x:c r="Y17" s="30"/>
      <x:c r="Z17" s="30"/>
      <x:c r="AA17" s="32" t="str">
        <x:f>IF(COUNTA(B17:G17,X17)=0,"待填写",IF(OR(B17="",C17="",D17="",E17="",F17="",G17="",X17=""),"缺金标准",IF(NOT(AND(LEN(B17)=64,NOT(ISERROR(DECIMAL(MID(B17,1,8),16))),NOT(ISERROR(DECIMAL(MID(B17,9,8),16))),NOT(ISERROR(DECIMAL(MID(B17,17,8),16))),NOT(ISERROR(DECIMAL(MID(B17,25,8),16))),NOT(ISERROR(DECIMAL(MID(B17,33,8),16))),NOT(ISERROR(DECIMAL(MID(B17,41,8),16))),NOT(ISERROR(DECIMAL(MID(B17,49,8),16))),NOT(ISERROR(DECIMAL(MID(B17,57,8),16))))),"SHA-256格式错误",IF(RIGHT(C17,1)&lt;&gt;"届","届别格式错误",IF(NOT(OR(D17="本科",D17="硕士",D17="硕士研究生",D17="博士",D17="博士研究生",D17="其他")),"学历枚举错误","通过")))))</x:f>
        <x:v>待填写</x:v>
      </x:c>
      <x:c r="AB17" s="32" t="str">
        <x:f>IF(AA17&lt;&gt;"通过","待填写",IF(OR(Y17="",Z17=""),"缺路线ID",IF(AND(Y17=A17,Z17=A17),"通过","样本ID不一致")))</x:f>
        <x:v>待填写</x:v>
      </x:c>
    </x:row>
    <x:row r="18">
      <x:c r="A18" s="12" t="str">
        <x:v>P04</x:v>
      </x:c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  <x:c r="N18" s="31"/>
      <x:c r="O18" s="16"/>
      <x:c r="P18" s="16"/>
      <x:c r="Q18" s="16"/>
      <x:c r="R18" s="16"/>
      <x:c r="S18" s="16"/>
      <x:c r="T18" s="16"/>
      <x:c r="U18" s="31"/>
      <x:c r="V18" s="31"/>
      <x:c r="W18" s="16"/>
      <x:c r="X18" s="30"/>
      <x:c r="Y18" s="30"/>
      <x:c r="Z18" s="30"/>
      <x:c r="AA18" s="32" t="str">
        <x:f>IF(COUNTA(B18:G18,X18)=0,"待填写",IF(OR(B18="",C18="",D18="",E18="",F18="",G18="",X18=""),"缺金标准",IF(NOT(AND(LEN(B18)=64,NOT(ISERROR(DECIMAL(MID(B18,1,8),16))),NOT(ISERROR(DECIMAL(MID(B18,9,8),16))),NOT(ISERROR(DECIMAL(MID(B18,17,8),16))),NOT(ISERROR(DECIMAL(MID(B18,25,8),16))),NOT(ISERROR(DECIMAL(MID(B18,33,8),16))),NOT(ISERROR(DECIMAL(MID(B18,41,8),16))),NOT(ISERROR(DECIMAL(MID(B18,49,8),16))),NOT(ISERROR(DECIMAL(MID(B18,57,8),16))))),"SHA-256格式错误",IF(RIGHT(C18,1)&lt;&gt;"届","届别格式错误",IF(NOT(OR(D18="本科",D18="硕士",D18="硕士研究生",D18="博士",D18="博士研究生",D18="其他")),"学历枚举错误","通过")))))</x:f>
        <x:v>待填写</x:v>
      </x:c>
      <x:c r="AB18" s="32" t="str">
        <x:f>IF(AA18&lt;&gt;"通过","待填写",IF(OR(Y18="",Z18=""),"缺路线ID",IF(AND(Y18=A18,Z18=A18),"通过","样本ID不一致")))</x:f>
        <x:v>待填写</x:v>
      </x:c>
    </x:row>
    <x:row r="19">
      <x:c r="A19" s="12" t="str">
        <x:v>P05</x:v>
      </x:c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  <x:c r="N19" s="31"/>
      <x:c r="O19" s="16"/>
      <x:c r="P19" s="16"/>
      <x:c r="Q19" s="16"/>
      <x:c r="R19" s="16"/>
      <x:c r="S19" s="16"/>
      <x:c r="T19" s="16"/>
      <x:c r="U19" s="31"/>
      <x:c r="V19" s="31"/>
      <x:c r="W19" s="16"/>
      <x:c r="X19" s="30"/>
      <x:c r="Y19" s="30"/>
      <x:c r="Z19" s="30"/>
      <x:c r="AA19" s="32" t="str">
        <x:f>IF(COUNTA(B19:G19,X19)=0,"待填写",IF(OR(B19="",C19="",D19="",E19="",F19="",G19="",X19=""),"缺金标准",IF(NOT(AND(LEN(B19)=64,NOT(ISERROR(DECIMAL(MID(B19,1,8),16))),NOT(ISERROR(DECIMAL(MID(B19,9,8),16))),NOT(ISERROR(DECIMAL(MID(B19,17,8),16))),NOT(ISERROR(DECIMAL(MID(B19,25,8),16))),NOT(ISERROR(DECIMAL(MID(B19,33,8),16))),NOT(ISERROR(DECIMAL(MID(B19,41,8),16))),NOT(ISERROR(DECIMAL(MID(B19,49,8),16))),NOT(ISERROR(DECIMAL(MID(B19,57,8),16))))),"SHA-256格式错误",IF(RIGHT(C19,1)&lt;&gt;"届","届别格式错误",IF(NOT(OR(D19="本科",D19="硕士",D19="硕士研究生",D19="博士",D19="博士研究生",D19="其他")),"学历枚举错误","通过")))))</x:f>
        <x:v>待填写</x:v>
      </x:c>
      <x:c r="AB19" s="32" t="str">
        <x:f>IF(AA19&lt;&gt;"通过","待填写",IF(OR(Y19="",Z19=""),"缺路线ID",IF(AND(Y19=A19,Z19=A19),"通过","样本ID不一致")))</x:f>
        <x:v>待填写</x:v>
      </x:c>
    </x:row>
    <x:row r="20">
      <x:c r="A20" s="12" t="str">
        <x:v>P06</x:v>
      </x:c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  <x:c r="N20" s="31"/>
      <x:c r="O20" s="16"/>
      <x:c r="P20" s="16"/>
      <x:c r="Q20" s="16"/>
      <x:c r="R20" s="16"/>
      <x:c r="S20" s="16"/>
      <x:c r="T20" s="16"/>
      <x:c r="U20" s="31"/>
      <x:c r="V20" s="31"/>
      <x:c r="W20" s="16"/>
      <x:c r="X20" s="30"/>
      <x:c r="Y20" s="30"/>
      <x:c r="Z20" s="30"/>
      <x:c r="AA20" s="32" t="str">
        <x:f>IF(COUNTA(B20:G20,X20)=0,"待填写",IF(OR(B20="",C20="",D20="",E20="",F20="",G20="",X20=""),"缺金标准",IF(NOT(AND(LEN(B20)=64,NOT(ISERROR(DECIMAL(MID(B20,1,8),16))),NOT(ISERROR(DECIMAL(MID(B20,9,8),16))),NOT(ISERROR(DECIMAL(MID(B20,17,8),16))),NOT(ISERROR(DECIMAL(MID(B20,25,8),16))),NOT(ISERROR(DECIMAL(MID(B20,33,8),16))),NOT(ISERROR(DECIMAL(MID(B20,41,8),16))),NOT(ISERROR(DECIMAL(MID(B20,49,8),16))),NOT(ISERROR(DECIMAL(MID(B20,57,8),16))))),"SHA-256格式错误",IF(RIGHT(C20,1)&lt;&gt;"届","届别格式错误",IF(NOT(OR(D20="本科",D20="硕士",D20="硕士研究生",D20="博士",D20="博士研究生",D20="其他")),"学历枚举错误","通过")))))</x:f>
        <x:v>待填写</x:v>
      </x:c>
      <x:c r="AB20" s="32" t="str">
        <x:f>IF(AA20&lt;&gt;"通过","待填写",IF(OR(Y20="",Z20=""),"缺路线ID",IF(AND(Y20=A20,Z20=A20),"通过","样本ID不一致")))</x:f>
        <x:v>待填写</x:v>
      </x:c>
    </x:row>
    <x:row r="21">
      <x:c r="A21" s="12" t="str">
        <x:v>P07</x:v>
      </x:c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  <x:c r="N21" s="31"/>
      <x:c r="O21" s="16"/>
      <x:c r="P21" s="16"/>
      <x:c r="Q21" s="16"/>
      <x:c r="R21" s="16"/>
      <x:c r="S21" s="16"/>
      <x:c r="T21" s="16"/>
      <x:c r="U21" s="31"/>
      <x:c r="V21" s="31"/>
      <x:c r="W21" s="16"/>
      <x:c r="X21" s="30"/>
      <x:c r="Y21" s="30"/>
      <x:c r="Z21" s="30"/>
      <x:c r="AA21" s="32" t="str">
        <x:f>IF(COUNTA(B21:G21,X21)=0,"待填写",IF(OR(B21="",C21="",D21="",E21="",F21="",G21="",X21=""),"缺金标准",IF(NOT(AND(LEN(B21)=64,NOT(ISERROR(DECIMAL(MID(B21,1,8),16))),NOT(ISERROR(DECIMAL(MID(B21,9,8),16))),NOT(ISERROR(DECIMAL(MID(B21,17,8),16))),NOT(ISERROR(DECIMAL(MID(B21,25,8),16))),NOT(ISERROR(DECIMAL(MID(B21,33,8),16))),NOT(ISERROR(DECIMAL(MID(B21,41,8),16))),NOT(ISERROR(DECIMAL(MID(B21,49,8),16))),NOT(ISERROR(DECIMAL(MID(B21,57,8),16))))),"SHA-256格式错误",IF(RIGHT(C21,1)&lt;&gt;"届","届别格式错误",IF(NOT(OR(D21="本科",D21="硕士",D21="硕士研究生",D21="博士",D21="博士研究生",D21="其他")),"学历枚举错误","通过")))))</x:f>
        <x:v>待填写</x:v>
      </x:c>
      <x:c r="AB21" s="32" t="str">
        <x:f>IF(AA21&lt;&gt;"通过","待填写",IF(OR(Y21="",Z21=""),"缺路线ID",IF(AND(Y21=A21,Z21=A21),"通过","样本ID不一致")))</x:f>
        <x:v>待填写</x:v>
      </x:c>
    </x:row>
    <x:row r="22">
      <x:c r="A22" s="12" t="str">
        <x:v>P08</x:v>
      </x:c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31"/>
      <x:c r="O22" s="16"/>
      <x:c r="P22" s="16"/>
      <x:c r="Q22" s="16"/>
      <x:c r="R22" s="16"/>
      <x:c r="S22" s="16"/>
      <x:c r="T22" s="16"/>
      <x:c r="U22" s="31"/>
      <x:c r="V22" s="31"/>
      <x:c r="W22" s="16"/>
      <x:c r="X22" s="30"/>
      <x:c r="Y22" s="30"/>
      <x:c r="Z22" s="30"/>
      <x:c r="AA22" s="32" t="str">
        <x:f>IF(COUNTA(B22:G22,X22)=0,"待填写",IF(OR(B22="",C22="",D22="",E22="",F22="",G22="",X22=""),"缺金标准",IF(NOT(AND(LEN(B22)=64,NOT(ISERROR(DECIMAL(MID(B22,1,8),16))),NOT(ISERROR(DECIMAL(MID(B22,9,8),16))),NOT(ISERROR(DECIMAL(MID(B22,17,8),16))),NOT(ISERROR(DECIMAL(MID(B22,25,8),16))),NOT(ISERROR(DECIMAL(MID(B22,33,8),16))),NOT(ISERROR(DECIMAL(MID(B22,41,8),16))),NOT(ISERROR(DECIMAL(MID(B22,49,8),16))),NOT(ISERROR(DECIMAL(MID(B22,57,8),16))))),"SHA-256格式错误",IF(RIGHT(C22,1)&lt;&gt;"届","届别格式错误",IF(NOT(OR(D22="本科",D22="硕士",D22="硕士研究生",D22="博士",D22="博士研究生",D22="其他")),"学历枚举错误","通过")))))</x:f>
        <x:v>待填写</x:v>
      </x:c>
      <x:c r="AB22" s="32" t="str">
        <x:f>IF(AA22&lt;&gt;"通过","待填写",IF(OR(Y22="",Z22=""),"缺路线ID",IF(AND(Y22=A22,Z22=A22),"通过","样本ID不一致")))</x:f>
        <x:v>待填写</x:v>
      </x:c>
    </x:row>
    <x:row r="23">
      <x:c r="A23" s="12" t="str">
        <x:v>P09</x:v>
      </x:c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31"/>
      <x:c r="O23" s="16"/>
      <x:c r="P23" s="16"/>
      <x:c r="Q23" s="16"/>
      <x:c r="R23" s="16"/>
      <x:c r="S23" s="16"/>
      <x:c r="T23" s="16"/>
      <x:c r="U23" s="31"/>
      <x:c r="V23" s="31"/>
      <x:c r="W23" s="16"/>
      <x:c r="X23" s="30"/>
      <x:c r="Y23" s="30"/>
      <x:c r="Z23" s="30"/>
      <x:c r="AA23" s="32" t="str">
        <x:f>IF(COUNTA(B23:G23,X23)=0,"待填写",IF(OR(B23="",C23="",D23="",E23="",F23="",G23="",X23=""),"缺金标准",IF(NOT(AND(LEN(B23)=64,NOT(ISERROR(DECIMAL(MID(B23,1,8),16))),NOT(ISERROR(DECIMAL(MID(B23,9,8),16))),NOT(ISERROR(DECIMAL(MID(B23,17,8),16))),NOT(ISERROR(DECIMAL(MID(B23,25,8),16))),NOT(ISERROR(DECIMAL(MID(B23,33,8),16))),NOT(ISERROR(DECIMAL(MID(B23,41,8),16))),NOT(ISERROR(DECIMAL(MID(B23,49,8),16))),NOT(ISERROR(DECIMAL(MID(B23,57,8),16))))),"SHA-256格式错误",IF(RIGHT(C23,1)&lt;&gt;"届","届别格式错误",IF(NOT(OR(D23="本科",D23="硕士",D23="硕士研究生",D23="博士",D23="博士研究生",D23="其他")),"学历枚举错误","通过")))))</x:f>
        <x:v>待填写</x:v>
      </x:c>
      <x:c r="AB23" s="32" t="str">
        <x:f>IF(AA23&lt;&gt;"通过","待填写",IF(OR(Y23="",Z23=""),"缺路线ID",IF(AND(Y23=A23,Z23=A23),"通过","样本ID不一致")))</x:f>
        <x:v>待填写</x:v>
      </x:c>
    </x:row>
    <x:row r="24">
      <x:c r="A24" s="12" t="str">
        <x:v>P10</x:v>
      </x:c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31"/>
      <x:c r="O24" s="16"/>
      <x:c r="P24" s="16"/>
      <x:c r="Q24" s="16"/>
      <x:c r="R24" s="16"/>
      <x:c r="S24" s="16"/>
      <x:c r="T24" s="16"/>
      <x:c r="U24" s="31"/>
      <x:c r="V24" s="31"/>
      <x:c r="W24" s="16"/>
      <x:c r="X24" s="30"/>
      <x:c r="Y24" s="30"/>
      <x:c r="Z24" s="30"/>
      <x:c r="AA24" s="32" t="str">
        <x:f>IF(COUNTA(B24:G24,X24)=0,"待填写",IF(OR(B24="",C24="",D24="",E24="",F24="",G24="",X24=""),"缺金标准",IF(NOT(AND(LEN(B24)=64,NOT(ISERROR(DECIMAL(MID(B24,1,8),16))),NOT(ISERROR(DECIMAL(MID(B24,9,8),16))),NOT(ISERROR(DECIMAL(MID(B24,17,8),16))),NOT(ISERROR(DECIMAL(MID(B24,25,8),16))),NOT(ISERROR(DECIMAL(MID(B24,33,8),16))),NOT(ISERROR(DECIMAL(MID(B24,41,8),16))),NOT(ISERROR(DECIMAL(MID(B24,49,8),16))),NOT(ISERROR(DECIMAL(MID(B24,57,8),16))))),"SHA-256格式错误",IF(RIGHT(C24,1)&lt;&gt;"届","届别格式错误",IF(NOT(OR(D24="本科",D24="硕士",D24="硕士研究生",D24="博士",D24="博士研究生",D24="其他")),"学历枚举错误","通过")))))</x:f>
        <x:v>待填写</x:v>
      </x:c>
      <x:c r="AB24" s="32" t="str">
        <x:f>IF(AA24&lt;&gt;"通过","待填写",IF(OR(Y24="",Z24=""),"缺路线ID",IF(AND(Y24=A24,Z24=A24),"通过","样本ID不一致")))</x:f>
        <x:v>待填写</x:v>
      </x:c>
    </x:row>
    <x:row r="25">
      <x:c r="A25" s="12" t="str">
        <x:v>P11</x:v>
      </x:c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31"/>
      <x:c r="O25" s="16"/>
      <x:c r="P25" s="16"/>
      <x:c r="Q25" s="16"/>
      <x:c r="R25" s="16"/>
      <x:c r="S25" s="16"/>
      <x:c r="T25" s="16"/>
      <x:c r="U25" s="31"/>
      <x:c r="V25" s="31"/>
      <x:c r="W25" s="16"/>
      <x:c r="X25" s="30"/>
      <x:c r="Y25" s="30"/>
      <x:c r="Z25" s="30"/>
      <x:c r="AA25" s="32" t="str">
        <x:f>IF(COUNTA(B25:G25,X25)=0,"待填写",IF(OR(B25="",C25="",D25="",E25="",F25="",G25="",X25=""),"缺金标准",IF(NOT(AND(LEN(B25)=64,NOT(ISERROR(DECIMAL(MID(B25,1,8),16))),NOT(ISERROR(DECIMAL(MID(B25,9,8),16))),NOT(ISERROR(DECIMAL(MID(B25,17,8),16))),NOT(ISERROR(DECIMAL(MID(B25,25,8),16))),NOT(ISERROR(DECIMAL(MID(B25,33,8),16))),NOT(ISERROR(DECIMAL(MID(B25,41,8),16))),NOT(ISERROR(DECIMAL(MID(B25,49,8),16))),NOT(ISERROR(DECIMAL(MID(B25,57,8),16))))),"SHA-256格式错误",IF(RIGHT(C25,1)&lt;&gt;"届","届别格式错误",IF(NOT(OR(D25="本科",D25="硕士",D25="硕士研究生",D25="博士",D25="博士研究生",D25="其他")),"学历枚举错误","通过")))))</x:f>
        <x:v>待填写</x:v>
      </x:c>
      <x:c r="AB25" s="32" t="str">
        <x:f>IF(AA25&lt;&gt;"通过","待填写",IF(OR(Y25="",Z25=""),"缺路线ID",IF(AND(Y25=A25,Z25=A25),"通过","样本ID不一致")))</x:f>
        <x:v>待填写</x:v>
      </x:c>
    </x:row>
    <x:row r="26">
      <x:c r="A26" s="12" t="str">
        <x:v>P12</x:v>
      </x:c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31"/>
      <x:c r="O26" s="16"/>
      <x:c r="P26" s="16"/>
      <x:c r="Q26" s="16"/>
      <x:c r="R26" s="16"/>
      <x:c r="S26" s="16"/>
      <x:c r="T26" s="16"/>
      <x:c r="U26" s="31"/>
      <x:c r="V26" s="31"/>
      <x:c r="W26" s="16"/>
      <x:c r="X26" s="30"/>
      <x:c r="Y26" s="30"/>
      <x:c r="Z26" s="30"/>
      <x:c r="AA26" s="32" t="str">
        <x:f>IF(COUNTA(B26:G26,X26)=0,"待填写",IF(OR(B26="",C26="",D26="",E26="",F26="",G26="",X26=""),"缺金标准",IF(NOT(AND(LEN(B26)=64,NOT(ISERROR(DECIMAL(MID(B26,1,8),16))),NOT(ISERROR(DECIMAL(MID(B26,9,8),16))),NOT(ISERROR(DECIMAL(MID(B26,17,8),16))),NOT(ISERROR(DECIMAL(MID(B26,25,8),16))),NOT(ISERROR(DECIMAL(MID(B26,33,8),16))),NOT(ISERROR(DECIMAL(MID(B26,41,8),16))),NOT(ISERROR(DECIMAL(MID(B26,49,8),16))),NOT(ISERROR(DECIMAL(MID(B26,57,8),16))))),"SHA-256格式错误",IF(RIGHT(C26,1)&lt;&gt;"届","届别格式错误",IF(NOT(OR(D26="本科",D26="硕士",D26="硕士研究生",D26="博士",D26="博士研究生",D26="其他")),"学历枚举错误","通过")))))</x:f>
        <x:v>待填写</x:v>
      </x:c>
      <x:c r="AB26" s="32" t="str">
        <x:f>IF(AA26&lt;&gt;"通过","待填写",IF(OR(Y26="",Z26=""),"缺路线ID",IF(AND(Y26=A26,Z26=A26),"通过","样本ID不一致")))</x:f>
        <x:v>待填写</x:v>
      </x:c>
    </x:row>
    <x:row r="27">
      <x:c r="A27" s="12" t="str">
        <x:v>P13</x:v>
      </x:c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31"/>
      <x:c r="O27" s="16"/>
      <x:c r="P27" s="16"/>
      <x:c r="Q27" s="16"/>
      <x:c r="R27" s="16"/>
      <x:c r="S27" s="16"/>
      <x:c r="T27" s="16"/>
      <x:c r="U27" s="31"/>
      <x:c r="V27" s="31"/>
      <x:c r="W27" s="16"/>
      <x:c r="X27" s="30"/>
      <x:c r="Y27" s="30"/>
      <x:c r="Z27" s="30"/>
      <x:c r="AA27" s="32" t="str">
        <x:f>IF(COUNTA(B27:G27,X27)=0,"待填写",IF(OR(B27="",C27="",D27="",E27="",F27="",G27="",X27=""),"缺金标准",IF(NOT(AND(LEN(B27)=64,NOT(ISERROR(DECIMAL(MID(B27,1,8),16))),NOT(ISERROR(DECIMAL(MID(B27,9,8),16))),NOT(ISERROR(DECIMAL(MID(B27,17,8),16))),NOT(ISERROR(DECIMAL(MID(B27,25,8),16))),NOT(ISERROR(DECIMAL(MID(B27,33,8),16))),NOT(ISERROR(DECIMAL(MID(B27,41,8),16))),NOT(ISERROR(DECIMAL(MID(B27,49,8),16))),NOT(ISERROR(DECIMAL(MID(B27,57,8),16))))),"SHA-256格式错误",IF(RIGHT(C27,1)&lt;&gt;"届","届别格式错误",IF(NOT(OR(D27="本科",D27="硕士",D27="硕士研究生",D27="博士",D27="博士研究生",D27="其他")),"学历枚举错误","通过")))))</x:f>
        <x:v>待填写</x:v>
      </x:c>
      <x:c r="AB27" s="32" t="str">
        <x:f>IF(AA27&lt;&gt;"通过","待填写",IF(OR(Y27="",Z27=""),"缺路线ID",IF(AND(Y27=A27,Z27=A27),"通过","样本ID不一致")))</x:f>
        <x:v>待填写</x:v>
      </x:c>
    </x:row>
    <x:row r="28">
      <x:c r="A28" s="12" t="str">
        <x:v>P14</x:v>
      </x:c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31"/>
      <x:c r="O28" s="16"/>
      <x:c r="P28" s="16"/>
      <x:c r="Q28" s="16"/>
      <x:c r="R28" s="16"/>
      <x:c r="S28" s="16"/>
      <x:c r="T28" s="16"/>
      <x:c r="U28" s="31"/>
      <x:c r="V28" s="31"/>
      <x:c r="W28" s="16"/>
      <x:c r="X28" s="30"/>
      <x:c r="Y28" s="30"/>
      <x:c r="Z28" s="30"/>
      <x:c r="AA28" s="32" t="str">
        <x:f>IF(COUNTA(B28:G28,X28)=0,"待填写",IF(OR(B28="",C28="",D28="",E28="",F28="",G28="",X28=""),"缺金标准",IF(NOT(AND(LEN(B28)=64,NOT(ISERROR(DECIMAL(MID(B28,1,8),16))),NOT(ISERROR(DECIMAL(MID(B28,9,8),16))),NOT(ISERROR(DECIMAL(MID(B28,17,8),16))),NOT(ISERROR(DECIMAL(MID(B28,25,8),16))),NOT(ISERROR(DECIMAL(MID(B28,33,8),16))),NOT(ISERROR(DECIMAL(MID(B28,41,8),16))),NOT(ISERROR(DECIMAL(MID(B28,49,8),16))),NOT(ISERROR(DECIMAL(MID(B28,57,8),16))))),"SHA-256格式错误",IF(RIGHT(C28,1)&lt;&gt;"届","届别格式错误",IF(NOT(OR(D28="本科",D28="硕士",D28="硕士研究生",D28="博士",D28="博士研究生",D28="其他")),"学历枚举错误","通过")))))</x:f>
        <x:v>待填写</x:v>
      </x:c>
      <x:c r="AB28" s="32" t="str">
        <x:f>IF(AA28&lt;&gt;"通过","待填写",IF(OR(Y28="",Z28=""),"缺路线ID",IF(AND(Y28=A28,Z28=A28),"通过","样本ID不一致")))</x:f>
        <x:v>待填写</x:v>
      </x:c>
    </x:row>
    <x:row r="29">
      <x:c r="A29" s="12" t="str">
        <x:v>P15</x:v>
      </x:c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31"/>
      <x:c r="O29" s="16"/>
      <x:c r="P29" s="16"/>
      <x:c r="Q29" s="16"/>
      <x:c r="R29" s="16"/>
      <x:c r="S29" s="16"/>
      <x:c r="T29" s="16"/>
      <x:c r="U29" s="31"/>
      <x:c r="V29" s="31"/>
      <x:c r="W29" s="16"/>
      <x:c r="X29" s="30"/>
      <x:c r="Y29" s="30"/>
      <x:c r="Z29" s="30"/>
      <x:c r="AA29" s="32" t="str">
        <x:f>IF(COUNTA(B29:G29,X29)=0,"待填写",IF(OR(B29="",C29="",D29="",E29="",F29="",G29="",X29=""),"缺金标准",IF(NOT(AND(LEN(B29)=64,NOT(ISERROR(DECIMAL(MID(B29,1,8),16))),NOT(ISERROR(DECIMAL(MID(B29,9,8),16))),NOT(ISERROR(DECIMAL(MID(B29,17,8),16))),NOT(ISERROR(DECIMAL(MID(B29,25,8),16))),NOT(ISERROR(DECIMAL(MID(B29,33,8),16))),NOT(ISERROR(DECIMAL(MID(B29,41,8),16))),NOT(ISERROR(DECIMAL(MID(B29,49,8),16))),NOT(ISERROR(DECIMAL(MID(B29,57,8),16))))),"SHA-256格式错误",IF(RIGHT(C29,1)&lt;&gt;"届","届别格式错误",IF(NOT(OR(D29="本科",D29="硕士",D29="硕士研究生",D29="博士",D29="博士研究生",D29="其他")),"学历枚举错误","通过")))))</x:f>
        <x:v>待填写</x:v>
      </x:c>
      <x:c r="AB29" s="32" t="str">
        <x:f>IF(AA29&lt;&gt;"通过","待填写",IF(OR(Y29="",Z29=""),"缺路线ID",IF(AND(Y29=A29,Z29=A29),"通过","样本ID不一致")))</x:f>
        <x:v>待填写</x:v>
      </x:c>
    </x:row>
    <x:row r="30">
      <x:c r="A30" s="12" t="str">
        <x:v>P16</x:v>
      </x:c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31"/>
      <x:c r="O30" s="16"/>
      <x:c r="P30" s="16"/>
      <x:c r="Q30" s="16"/>
      <x:c r="R30" s="16"/>
      <x:c r="S30" s="16"/>
      <x:c r="T30" s="16"/>
      <x:c r="U30" s="31"/>
      <x:c r="V30" s="31"/>
      <x:c r="W30" s="16"/>
      <x:c r="X30" s="30"/>
      <x:c r="Y30" s="30"/>
      <x:c r="Z30" s="30"/>
      <x:c r="AA30" s="32" t="str">
        <x:f>IF(COUNTA(B30:G30,X30)=0,"待填写",IF(OR(B30="",C30="",D30="",E30="",F30="",G30="",X30=""),"缺金标准",IF(NOT(AND(LEN(B30)=64,NOT(ISERROR(DECIMAL(MID(B30,1,8),16))),NOT(ISERROR(DECIMAL(MID(B30,9,8),16))),NOT(ISERROR(DECIMAL(MID(B30,17,8),16))),NOT(ISERROR(DECIMAL(MID(B30,25,8),16))),NOT(ISERROR(DECIMAL(MID(B30,33,8),16))),NOT(ISERROR(DECIMAL(MID(B30,41,8),16))),NOT(ISERROR(DECIMAL(MID(B30,49,8),16))),NOT(ISERROR(DECIMAL(MID(B30,57,8),16))))),"SHA-256格式错误",IF(RIGHT(C30,1)&lt;&gt;"届","届别格式错误",IF(NOT(OR(D30="本科",D30="硕士",D30="硕士研究生",D30="博士",D30="博士研究生",D30="其他")),"学历枚举错误","通过")))))</x:f>
        <x:v>待填写</x:v>
      </x:c>
      <x:c r="AB30" s="32" t="str">
        <x:f>IF(AA30&lt;&gt;"通过","待填写",IF(OR(Y30="",Z30=""),"缺路线ID",IF(AND(Y30=A30,Z30=A30),"通过","样本ID不一致")))</x:f>
        <x:v>待填写</x:v>
      </x:c>
    </x:row>
    <x:row r="31">
      <x:c r="A31" s="12" t="str">
        <x:v>P17</x:v>
      </x:c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31"/>
      <x:c r="O31" s="16"/>
      <x:c r="P31" s="16"/>
      <x:c r="Q31" s="16"/>
      <x:c r="R31" s="16"/>
      <x:c r="S31" s="16"/>
      <x:c r="T31" s="16"/>
      <x:c r="U31" s="31"/>
      <x:c r="V31" s="31"/>
      <x:c r="W31" s="16"/>
      <x:c r="X31" s="30"/>
      <x:c r="Y31" s="30"/>
      <x:c r="Z31" s="30"/>
      <x:c r="AA31" s="32" t="str">
        <x:f>IF(COUNTA(B31:G31,X31)=0,"待填写",IF(OR(B31="",C31="",D31="",E31="",F31="",G31="",X31=""),"缺金标准",IF(NOT(AND(LEN(B31)=64,NOT(ISERROR(DECIMAL(MID(B31,1,8),16))),NOT(ISERROR(DECIMAL(MID(B31,9,8),16))),NOT(ISERROR(DECIMAL(MID(B31,17,8),16))),NOT(ISERROR(DECIMAL(MID(B31,25,8),16))),NOT(ISERROR(DECIMAL(MID(B31,33,8),16))),NOT(ISERROR(DECIMAL(MID(B31,41,8),16))),NOT(ISERROR(DECIMAL(MID(B31,49,8),16))),NOT(ISERROR(DECIMAL(MID(B31,57,8),16))))),"SHA-256格式错误",IF(RIGHT(C31,1)&lt;&gt;"届","届别格式错误",IF(NOT(OR(D31="本科",D31="硕士",D31="硕士研究生",D31="博士",D31="博士研究生",D31="其他")),"学历枚举错误","通过")))))</x:f>
        <x:v>待填写</x:v>
      </x:c>
      <x:c r="AB31" s="32" t="str">
        <x:f>IF(AA31&lt;&gt;"通过","待填写",IF(OR(Y31="",Z31=""),"缺路线ID",IF(AND(Y31=A31,Z31=A31),"通过","样本ID不一致")))</x:f>
        <x:v>待填写</x:v>
      </x:c>
    </x:row>
    <x:row r="32">
      <x:c r="A32" s="12" t="str">
        <x:v>P18</x:v>
      </x:c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31"/>
      <x:c r="O32" s="16"/>
      <x:c r="P32" s="16"/>
      <x:c r="Q32" s="16"/>
      <x:c r="R32" s="16"/>
      <x:c r="S32" s="16"/>
      <x:c r="T32" s="16"/>
      <x:c r="U32" s="31"/>
      <x:c r="V32" s="31"/>
      <x:c r="W32" s="16"/>
      <x:c r="X32" s="30"/>
      <x:c r="Y32" s="30"/>
      <x:c r="Z32" s="30"/>
      <x:c r="AA32" s="32" t="str">
        <x:f>IF(COUNTA(B32:G32,X32)=0,"待填写",IF(OR(B32="",C32="",D32="",E32="",F32="",G32="",X32=""),"缺金标准",IF(NOT(AND(LEN(B32)=64,NOT(ISERROR(DECIMAL(MID(B32,1,8),16))),NOT(ISERROR(DECIMAL(MID(B32,9,8),16))),NOT(ISERROR(DECIMAL(MID(B32,17,8),16))),NOT(ISERROR(DECIMAL(MID(B32,25,8),16))),NOT(ISERROR(DECIMAL(MID(B32,33,8),16))),NOT(ISERROR(DECIMAL(MID(B32,41,8),16))),NOT(ISERROR(DECIMAL(MID(B32,49,8),16))),NOT(ISERROR(DECIMAL(MID(B32,57,8),16))))),"SHA-256格式错误",IF(RIGHT(C32,1)&lt;&gt;"届","届别格式错误",IF(NOT(OR(D32="本科",D32="硕士",D32="硕士研究生",D32="博士",D32="博士研究生",D32="其他")),"学历枚举错误","通过")))))</x:f>
        <x:v>待填写</x:v>
      </x:c>
      <x:c r="AB32" s="32" t="str">
        <x:f>IF(AA32&lt;&gt;"通过","待填写",IF(OR(Y32="",Z32=""),"缺路线ID",IF(AND(Y32=A32,Z32=A32),"通过","样本ID不一致")))</x:f>
        <x:v>待填写</x:v>
      </x:c>
    </x:row>
    <x:row r="33">
      <x:c r="A33" s="12" t="str">
        <x:v>P19</x:v>
      </x:c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31"/>
      <x:c r="O33" s="16"/>
      <x:c r="P33" s="16"/>
      <x:c r="Q33" s="16"/>
      <x:c r="R33" s="16"/>
      <x:c r="S33" s="16"/>
      <x:c r="T33" s="16"/>
      <x:c r="U33" s="31"/>
      <x:c r="V33" s="31"/>
      <x:c r="W33" s="16"/>
      <x:c r="X33" s="30"/>
      <x:c r="Y33" s="30"/>
      <x:c r="Z33" s="30"/>
      <x:c r="AA33" s="32" t="str">
        <x:f>IF(COUNTA(B33:G33,X33)=0,"待填写",IF(OR(B33="",C33="",D33="",E33="",F33="",G33="",X33=""),"缺金标准",IF(NOT(AND(LEN(B33)=64,NOT(ISERROR(DECIMAL(MID(B33,1,8),16))),NOT(ISERROR(DECIMAL(MID(B33,9,8),16))),NOT(ISERROR(DECIMAL(MID(B33,17,8),16))),NOT(ISERROR(DECIMAL(MID(B33,25,8),16))),NOT(ISERROR(DECIMAL(MID(B33,33,8),16))),NOT(ISERROR(DECIMAL(MID(B33,41,8),16))),NOT(ISERROR(DECIMAL(MID(B33,49,8),16))),NOT(ISERROR(DECIMAL(MID(B33,57,8),16))))),"SHA-256格式错误",IF(RIGHT(C33,1)&lt;&gt;"届","届别格式错误",IF(NOT(OR(D33="本科",D33="硕士",D33="硕士研究生",D33="博士",D33="博士研究生",D33="其他")),"学历枚举错误","通过")))))</x:f>
        <x:v>待填写</x:v>
      </x:c>
      <x:c r="AB33" s="32" t="str">
        <x:f>IF(AA33&lt;&gt;"通过","待填写",IF(OR(Y33="",Z33=""),"缺路线ID",IF(AND(Y33=A33,Z33=A33),"通过","样本ID不一致")))</x:f>
        <x:v>待填写</x:v>
      </x:c>
    </x:row>
    <x:row r="34">
      <x:c r="A34" s="12" t="str">
        <x:v>P20</x:v>
      </x:c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31"/>
      <x:c r="O34" s="16"/>
      <x:c r="P34" s="16"/>
      <x:c r="Q34" s="16"/>
      <x:c r="R34" s="16"/>
      <x:c r="S34" s="16"/>
      <x:c r="T34" s="16"/>
      <x:c r="U34" s="31"/>
      <x:c r="V34" s="31"/>
      <x:c r="W34" s="16"/>
      <x:c r="X34" s="30"/>
      <x:c r="Y34" s="30"/>
      <x:c r="Z34" s="30"/>
      <x:c r="AA34" s="32" t="str">
        <x:f>IF(COUNTA(B34:G34,X34)=0,"待填写",IF(OR(B34="",C34="",D34="",E34="",F34="",G34="",X34=""),"缺金标准",IF(NOT(AND(LEN(B34)=64,NOT(ISERROR(DECIMAL(MID(B34,1,8),16))),NOT(ISERROR(DECIMAL(MID(B34,9,8),16))),NOT(ISERROR(DECIMAL(MID(B34,17,8),16))),NOT(ISERROR(DECIMAL(MID(B34,25,8),16))),NOT(ISERROR(DECIMAL(MID(B34,33,8),16))),NOT(ISERROR(DECIMAL(MID(B34,41,8),16))),NOT(ISERROR(DECIMAL(MID(B34,49,8),16))),NOT(ISERROR(DECIMAL(MID(B34,57,8),16))))),"SHA-256格式错误",IF(RIGHT(C34,1)&lt;&gt;"届","届别格式错误",IF(NOT(OR(D34="本科",D34="硕士",D34="硕士研究生",D34="博士",D34="博士研究生",D34="其他")),"学历枚举错误","通过")))))</x:f>
        <x:v>待填写</x:v>
      </x:c>
      <x:c r="AB34" s="32" t="str">
        <x:f>IF(AA34&lt;&gt;"通过","待填写",IF(OR(Y34="",Z34=""),"缺路线ID",IF(AND(Y34=A34,Z34=A34),"通过","样本ID不一致")))</x:f>
        <x:v>待填写</x:v>
      </x:c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9" t="str">
        <x:v>外部评测元数据</x:v>
      </x:c>
      <x:c r="B37" s="9" t="str">
        <x:v>服务商</x:v>
      </x:c>
      <x:c r="C37" s="9" t="str">
        <x:v>模型版本</x:v>
      </x:c>
      <x:c r="D37" s="9" t="str">
        <x:v>发送数据类型</x:v>
      </x:c>
      <x:c r="E37" s="9" t="str">
        <x:v>授权依据</x:v>
      </x:c>
      <x:c r="F37" s="9" t="str">
        <x:v>保留策略</x:v>
      </x:c>
      <x:c r="G37" s="9" t="str">
        <x:v>价格日期</x:v>
      </x:c>
      <x:c r="H37" s="9" t="str">
        <x:v>脱敏检查</x:v>
      </x:c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2" t="str">
        <x:v>由B填写</x:v>
      </x:c>
      <x:c r="B38" s="16"/>
      <x:c r="C38" s="16"/>
      <x:c r="D38" s="16"/>
      <x:c r="E38" s="16"/>
      <x:c r="F38" s="16"/>
      <x:c r="G38" s="16"/>
      <x:c r="H38" s="16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H15:M34">
    <x:cfRule type="cellIs" dxfId="12" priority="1" operator="equal">
      <x:formula>0</x:formula>
    </x:cfRule>
  </x:conditionalFormatting>
  <x:conditionalFormatting sqref="O15:T34">
    <x:cfRule type="cellIs" dxfId="13" priority="2" operator="equal">
      <x:formula>0</x:formula>
    </x:cfRule>
  </x:conditionalFormatting>
  <x:dataValidations count="16">
    <x:dataValidation type="list" sqref="D15:D34">
      <x:formula1>"本科,硕士,硕士研究生,博士,博士研究生,其他"</x:formula1>
    </x:dataValidation>
    <x:dataValidation type="list" sqref="Y15:Z34">
      <x:formula1>"P01,P02,P03,P04,P05,P06,P07,P08,P09,P10,P11,P12,P13,P14,P15,P16,P17,P18,P19,P20"</x:formula1>
    </x:dataValidation>
    <x:dataValidation type="whole" operator="between" sqref="H15:H34">
      <x:formula1>0</x:formula1>
      <x:formula2>1</x:formula2>
    </x:dataValidation>
    <x:dataValidation type="whole" operator="between" sqref="I15:I34">
      <x:formula1>0</x:formula1>
      <x:formula2>1</x:formula2>
    </x:dataValidation>
    <x:dataValidation type="whole" operator="between" sqref="J15:J34">
      <x:formula1>0</x:formula1>
      <x:formula2>1</x:formula2>
    </x:dataValidation>
    <x:dataValidation type="whole" operator="between" sqref="K15:K34">
      <x:formula1>0</x:formula1>
      <x:formula2>1</x:formula2>
    </x:dataValidation>
    <x:dataValidation type="whole" operator="between" sqref="L15:L34">
      <x:formula1>0</x:formula1>
      <x:formula2>1</x:formula2>
    </x:dataValidation>
    <x:dataValidation type="whole" operator="between" sqref="M15:M34">
      <x:formula1>0</x:formula1>
      <x:formula2>1</x:formula2>
    </x:dataValidation>
    <x:dataValidation type="whole" operator="between" sqref="O15:O34">
      <x:formula1>0</x:formula1>
      <x:formula2>1</x:formula2>
    </x:dataValidation>
    <x:dataValidation type="whole" operator="between" sqref="P15:P34">
      <x:formula1>0</x:formula1>
      <x:formula2>1</x:formula2>
    </x:dataValidation>
    <x:dataValidation type="whole" operator="between" sqref="Q15:Q34">
      <x:formula1>0</x:formula1>
      <x:formula2>1</x:formula2>
    </x:dataValidation>
    <x:dataValidation type="whole" operator="between" sqref="R15:R34">
      <x:formula1>0</x:formula1>
      <x:formula2>1</x:formula2>
    </x:dataValidation>
    <x:dataValidation type="whole" operator="between" sqref="S15:S34">
      <x:formula1>0</x:formula1>
      <x:formula2>1</x:formula2>
    </x:dataValidation>
    <x:dataValidation type="whole" operator="between" sqref="T15:T34">
      <x:formula1>0</x:formula1>
      <x:formula2>1</x:formula2>
    </x:dataValidation>
    <x:dataValidation type="decimal" operator="greaterThanOrEqual" sqref="N15:N34">
      <x:formula1>0</x:formula1>
    </x:dataValidation>
    <x:dataValidation type="decimal" operator="greaterThanOrEqual" sqref="U15:V34">
      <x:formula1>0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75" hidden="0" customWidth="1"/>
    <x:col min="2" max="2" width="7.5" hidden="0" customWidth="1"/>
    <x:col min="3" max="3" width="11.880000114440918" hidden="0" customWidth="1"/>
    <x:col min="4" max="4" width="10.630000114440918" hidden="0" customWidth="1"/>
    <x:col min="5" max="5" width="32.5" hidden="0" customWidth="1"/>
    <x:col min="6" max="6" width="15.630000114440918" hidden="0" customWidth="1"/>
    <x:col min="7" max="7" width="10.630000114440918" hidden="0" customWidth="1"/>
    <x:col min="8" max="8" width="9.380000114440918" hidden="0" customWidth="1"/>
    <x:col min="9" max="9" width="18.75" hidden="0" customWidth="1"/>
    <x:col min="10" max="10" width="27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证据索引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仓库只保存可公开且已脱敏的小文件。录屏或大文件填写共享链接、PR或GitHub附件地址。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证据ID</x:v>
      </x:c>
      <x:c r="B5" s="9" t="str">
        <x:v>角色</x:v>
      </x:c>
      <x:c r="C5" s="9" t="str">
        <x:v>关联验收ID</x:v>
      </x:c>
      <x:c r="D5" s="9" t="str">
        <x:v>证据类型</x:v>
      </x:c>
      <x:c r="E5" s="9" t="str">
        <x:v>文件路径或URL</x:v>
      </x:c>
      <x:c r="F5" s="9" t="str">
        <x:v>生成时间</x:v>
      </x:c>
      <x:c r="G5" s="9" t="str">
        <x:v>脱敏检查</x:v>
      </x:c>
      <x:c r="H5" s="9" t="str">
        <x:v>检查人</x:v>
      </x:c>
      <x:c r="I5" s="9" t="str">
        <x:v>Commit或PR</x:v>
      </x:c>
      <x:c r="J5" s="9" t="str">
        <x:v>说明</x:v>
      </x:c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E-01</x:v>
      </x:c>
      <x:c r="B6" s="16"/>
      <x:c r="C6" s="16"/>
      <x:c r="D6" s="16"/>
      <x:c r="E6" s="16"/>
      <x:c r="F6" s="24"/>
      <x:c r="G6" s="16"/>
      <x:c r="H6" s="16"/>
      <x:c r="I6" s="16"/>
      <x:c r="J6" s="16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E-02</x:v>
      </x:c>
      <x:c r="B7" s="16"/>
      <x:c r="C7" s="16"/>
      <x:c r="D7" s="16"/>
      <x:c r="E7" s="16"/>
      <x:c r="F7" s="24"/>
      <x:c r="G7" s="16"/>
      <x:c r="H7" s="16"/>
      <x:c r="I7" s="16"/>
      <x:c r="J7" s="16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E-03</x:v>
      </x:c>
      <x:c r="B8" s="16"/>
      <x:c r="C8" s="16"/>
      <x:c r="D8" s="16"/>
      <x:c r="E8" s="16"/>
      <x:c r="F8" s="24"/>
      <x:c r="G8" s="16"/>
      <x:c r="H8" s="16"/>
      <x:c r="I8" s="16"/>
      <x:c r="J8" s="16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2" t="str">
        <x:v>E-04</x:v>
      </x:c>
      <x:c r="B9" s="16"/>
      <x:c r="C9" s="16"/>
      <x:c r="D9" s="16"/>
      <x:c r="E9" s="16"/>
      <x:c r="F9" s="24"/>
      <x:c r="G9" s="16"/>
      <x:c r="H9" s="16"/>
      <x:c r="I9" s="16"/>
      <x:c r="J9" s="16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2" t="str">
        <x:v>E-05</x:v>
      </x:c>
      <x:c r="B10" s="16"/>
      <x:c r="C10" s="16"/>
      <x:c r="D10" s="16"/>
      <x:c r="E10" s="16"/>
      <x:c r="F10" s="24"/>
      <x:c r="G10" s="16"/>
      <x:c r="H10" s="16"/>
      <x:c r="I10" s="16"/>
      <x:c r="J10" s="16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>
      <x:c r="A11" s="12" t="str">
        <x:v>E-06</x:v>
      </x:c>
      <x:c r="B11" s="16"/>
      <x:c r="C11" s="16"/>
      <x:c r="D11" s="16"/>
      <x:c r="E11" s="16"/>
      <x:c r="F11" s="24"/>
      <x:c r="G11" s="16"/>
      <x:c r="H11" s="16"/>
      <x:c r="I11" s="16"/>
      <x:c r="J11" s="16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2" t="str">
        <x:v>E-07</x:v>
      </x:c>
      <x:c r="B12" s="16"/>
      <x:c r="C12" s="16"/>
      <x:c r="D12" s="16"/>
      <x:c r="E12" s="16"/>
      <x:c r="F12" s="24"/>
      <x:c r="G12" s="16"/>
      <x:c r="H12" s="16"/>
      <x:c r="I12" s="16"/>
      <x:c r="J12" s="16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2" t="str">
        <x:v>E-08</x:v>
      </x:c>
      <x:c r="B13" s="16"/>
      <x:c r="C13" s="16"/>
      <x:c r="D13" s="16"/>
      <x:c r="E13" s="16"/>
      <x:c r="F13" s="24"/>
      <x:c r="G13" s="16"/>
      <x:c r="H13" s="16"/>
      <x:c r="I13" s="16"/>
      <x:c r="J13" s="16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12" t="str">
        <x:v>E-09</x:v>
      </x:c>
      <x:c r="B14" s="16"/>
      <x:c r="C14" s="16"/>
      <x:c r="D14" s="16"/>
      <x:c r="E14" s="16"/>
      <x:c r="F14" s="24"/>
      <x:c r="G14" s="16"/>
      <x:c r="H14" s="16"/>
      <x:c r="I14" s="16"/>
      <x:c r="J14" s="16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>
      <x:c r="A15" s="12" t="str">
        <x:v>E-10</x:v>
      </x:c>
      <x:c r="B15" s="16"/>
      <x:c r="C15" s="16"/>
      <x:c r="D15" s="16"/>
      <x:c r="E15" s="16"/>
      <x:c r="F15" s="24"/>
      <x:c r="G15" s="16"/>
      <x:c r="H15" s="16"/>
      <x:c r="I15" s="16"/>
      <x:c r="J15" s="16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>
      <x:c r="A16" s="12" t="str">
        <x:v>E-11</x:v>
      </x:c>
      <x:c r="B16" s="16"/>
      <x:c r="C16" s="16"/>
      <x:c r="D16" s="16"/>
      <x:c r="E16" s="16"/>
      <x:c r="F16" s="24"/>
      <x:c r="G16" s="16"/>
      <x:c r="H16" s="16"/>
      <x:c r="I16" s="16"/>
      <x:c r="J16" s="16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>
      <x:c r="A17" s="12" t="str">
        <x:v>E-12</x:v>
      </x:c>
      <x:c r="B17" s="16"/>
      <x:c r="C17" s="16"/>
      <x:c r="D17" s="16"/>
      <x:c r="E17" s="16"/>
      <x:c r="F17" s="24"/>
      <x:c r="G17" s="16"/>
      <x:c r="H17" s="16"/>
      <x:c r="I17" s="16"/>
      <x:c r="J17" s="16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>
      <x:c r="A18" s="12" t="str">
        <x:v>E-13</x:v>
      </x:c>
      <x:c r="B18" s="16"/>
      <x:c r="C18" s="16"/>
      <x:c r="D18" s="16"/>
      <x:c r="E18" s="16"/>
      <x:c r="F18" s="24"/>
      <x:c r="G18" s="16"/>
      <x:c r="H18" s="16"/>
      <x:c r="I18" s="16"/>
      <x:c r="J18" s="16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2" t="str">
        <x:v>E-14</x:v>
      </x:c>
      <x:c r="B19" s="16"/>
      <x:c r="C19" s="16"/>
      <x:c r="D19" s="16"/>
      <x:c r="E19" s="16"/>
      <x:c r="F19" s="24"/>
      <x:c r="G19" s="16"/>
      <x:c r="H19" s="16"/>
      <x:c r="I19" s="16"/>
      <x:c r="J19" s="16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2" t="str">
        <x:v>E-15</x:v>
      </x:c>
      <x:c r="B20" s="16"/>
      <x:c r="C20" s="16"/>
      <x:c r="D20" s="16"/>
      <x:c r="E20" s="16"/>
      <x:c r="F20" s="24"/>
      <x:c r="G20" s="16"/>
      <x:c r="H20" s="16"/>
      <x:c r="I20" s="16"/>
      <x:c r="J20" s="16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2" t="str">
        <x:v>E-16</x:v>
      </x:c>
      <x:c r="B21" s="16"/>
      <x:c r="C21" s="16"/>
      <x:c r="D21" s="16"/>
      <x:c r="E21" s="16"/>
      <x:c r="F21" s="24"/>
      <x:c r="G21" s="16"/>
      <x:c r="H21" s="16"/>
      <x:c r="I21" s="16"/>
      <x:c r="J21" s="16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2" t="str">
        <x:v>E-17</x:v>
      </x:c>
      <x:c r="B22" s="16"/>
      <x:c r="C22" s="16"/>
      <x:c r="D22" s="16"/>
      <x:c r="E22" s="16"/>
      <x:c r="F22" s="24"/>
      <x:c r="G22" s="16"/>
      <x:c r="H22" s="16"/>
      <x:c r="I22" s="16"/>
      <x:c r="J22" s="16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2" t="str">
        <x:v>E-18</x:v>
      </x:c>
      <x:c r="B23" s="16"/>
      <x:c r="C23" s="16"/>
      <x:c r="D23" s="16"/>
      <x:c r="E23" s="16"/>
      <x:c r="F23" s="24"/>
      <x:c r="G23" s="16"/>
      <x:c r="H23" s="16"/>
      <x:c r="I23" s="16"/>
      <x:c r="J23" s="16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2" t="str">
        <x:v>E-19</x:v>
      </x:c>
      <x:c r="B24" s="16"/>
      <x:c r="C24" s="16"/>
      <x:c r="D24" s="16"/>
      <x:c r="E24" s="16"/>
      <x:c r="F24" s="24"/>
      <x:c r="G24" s="16"/>
      <x:c r="H24" s="16"/>
      <x:c r="I24" s="16"/>
      <x:c r="J24" s="16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2" t="str">
        <x:v>E-20</x:v>
      </x:c>
      <x:c r="B25" s="16"/>
      <x:c r="C25" s="16"/>
      <x:c r="D25" s="16"/>
      <x:c r="E25" s="16"/>
      <x:c r="F25" s="24"/>
      <x:c r="G25" s="16"/>
      <x:c r="H25" s="16"/>
      <x:c r="I25" s="16"/>
      <x:c r="J25" s="16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2" t="str">
        <x:v>E-21</x:v>
      </x:c>
      <x:c r="B26" s="16"/>
      <x:c r="C26" s="16"/>
      <x:c r="D26" s="16"/>
      <x:c r="E26" s="16"/>
      <x:c r="F26" s="24"/>
      <x:c r="G26" s="16"/>
      <x:c r="H26" s="16"/>
      <x:c r="I26" s="16"/>
      <x:c r="J26" s="16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2" t="str">
        <x:v>E-22</x:v>
      </x:c>
      <x:c r="B27" s="16"/>
      <x:c r="C27" s="16"/>
      <x:c r="D27" s="16"/>
      <x:c r="E27" s="16"/>
      <x:c r="F27" s="24"/>
      <x:c r="G27" s="16"/>
      <x:c r="H27" s="16"/>
      <x:c r="I27" s="16"/>
      <x:c r="J27" s="16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2" t="str">
        <x:v>E-23</x:v>
      </x:c>
      <x:c r="B28" s="16"/>
      <x:c r="C28" s="16"/>
      <x:c r="D28" s="16"/>
      <x:c r="E28" s="16"/>
      <x:c r="F28" s="24"/>
      <x:c r="G28" s="16"/>
      <x:c r="H28" s="16"/>
      <x:c r="I28" s="16"/>
      <x:c r="J28" s="16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2" t="str">
        <x:v>E-24</x:v>
      </x:c>
      <x:c r="B29" s="16"/>
      <x:c r="C29" s="16"/>
      <x:c r="D29" s="16"/>
      <x:c r="E29" s="16"/>
      <x:c r="F29" s="24"/>
      <x:c r="G29" s="16"/>
      <x:c r="H29" s="16"/>
      <x:c r="I29" s="16"/>
      <x:c r="J29" s="16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2" t="str">
        <x:v>E-25</x:v>
      </x:c>
      <x:c r="B30" s="16"/>
      <x:c r="C30" s="16"/>
      <x:c r="D30" s="16"/>
      <x:c r="E30" s="16"/>
      <x:c r="F30" s="24"/>
      <x:c r="G30" s="16"/>
      <x:c r="H30" s="16"/>
      <x:c r="I30" s="16"/>
      <x:c r="J30" s="16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2" t="str">
        <x:v>E-26</x:v>
      </x:c>
      <x:c r="B31" s="16"/>
      <x:c r="C31" s="16"/>
      <x:c r="D31" s="16"/>
      <x:c r="E31" s="16"/>
      <x:c r="F31" s="24"/>
      <x:c r="G31" s="16"/>
      <x:c r="H31" s="16"/>
      <x:c r="I31" s="16"/>
      <x:c r="J31" s="16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2" t="str">
        <x:v>E-27</x:v>
      </x:c>
      <x:c r="B32" s="16"/>
      <x:c r="C32" s="16"/>
      <x:c r="D32" s="16"/>
      <x:c r="E32" s="16"/>
      <x:c r="F32" s="24"/>
      <x:c r="G32" s="16"/>
      <x:c r="H32" s="16"/>
      <x:c r="I32" s="16"/>
      <x:c r="J32" s="16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2" t="str">
        <x:v>E-28</x:v>
      </x:c>
      <x:c r="B33" s="16"/>
      <x:c r="C33" s="16"/>
      <x:c r="D33" s="16"/>
      <x:c r="E33" s="16"/>
      <x:c r="F33" s="24"/>
      <x:c r="G33" s="16"/>
      <x:c r="H33" s="16"/>
      <x:c r="I33" s="16"/>
      <x:c r="J33" s="16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2" t="str">
        <x:v>E-29</x:v>
      </x:c>
      <x:c r="B34" s="16"/>
      <x:c r="C34" s="16"/>
      <x:c r="D34" s="16"/>
      <x:c r="E34" s="16"/>
      <x:c r="F34" s="24"/>
      <x:c r="G34" s="16"/>
      <x:c r="H34" s="16"/>
      <x:c r="I34" s="16"/>
      <x:c r="J34" s="16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2" t="str">
        <x:v>E-30</x:v>
      </x:c>
      <x:c r="B35" s="16"/>
      <x:c r="C35" s="16"/>
      <x:c r="D35" s="16"/>
      <x:c r="E35" s="16"/>
      <x:c r="F35" s="24"/>
      <x:c r="G35" s="16"/>
      <x:c r="H35" s="16"/>
      <x:c r="I35" s="16"/>
      <x:c r="J35" s="16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dataValidations count="3">
    <x:dataValidation type="list" sqref="B6:B35">
      <x:formula1>"A,B,C,全组"</x:formula1>
    </x:dataValidation>
    <x:dataValidation type="list" sqref="D6:D35">
      <x:formula1>"日志,截图,录屏,JSON,测试输出,评测表,PR"</x:formula1>
    </x:dataValidation>
    <x:dataValidation type="list" sqref="G6:G35">
      <x:formula1>"未检查,通过,退回"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25" hidden="0" customWidth="1"/>
    <x:col min="3" max="3" width="16.25" hidden="0" customWidth="1"/>
    <x:col min="4" max="4" width="37.5" hidden="0" customWidth="1"/>
    <x:col min="5" max="5" width="18.75" hidden="0" customWidth="1"/>
    <x:col min="6" max="6" width="1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第一周验收总览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截至2026年9月20日23:59。Excel由C单人提交并据角色进度文件回填；本页自动汇总，避免多人并发编辑二进制文件。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角色</x:v>
      </x:c>
      <x:c r="B5" s="9" t="str">
        <x:v>验收项</x:v>
      </x:c>
      <x:c r="C5" s="9" t="str">
        <x:v>通过</x:v>
      </x:c>
      <x:c r="D5" s="9" t="str">
        <x:v>未达标或退回</x:v>
      </x:c>
      <x:c r="E5" s="9" t="str">
        <x:v>待填写或待接收</x:v>
      </x:c>
      <x:c r="F5" s="9" t="str">
        <x:v>完成率</x:v>
      </x:c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A</x:v>
      </x:c>
      <x:c r="B6" s="12" t="n">
        <x:f>COUNTA('A验收'!A6:A18)</x:f>
        <x:v>13</x:v>
      </x:c>
      <x:c r="C6" s="12" t="n">
        <x:f>COUNTIF('A验收'!N6:N18,"通过")</x:f>
        <x:v>0</x:v>
      </x:c>
      <x:c r="D6" s="12" t="n">
        <x:f>COUNTIF('A验收'!N6:N18,"未达标")+COUNTIF('A验收'!N6:N18,"退回")</x:f>
        <x:v>0</x:v>
      </x:c>
      <x:c r="E6" s="12" t="n">
        <x:f>B6-C6-D6</x:f>
        <x:v>13</x:v>
      </x:c>
      <x:c r="F6" s="33" t="n">
        <x:f>IF(B6=0,0,C6/B6)</x:f>
        <x:v>0</x:v>
      </x:c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B</x:v>
      </x:c>
      <x:c r="B7" s="12" t="n">
        <x:f>COUNTA('B验收'!A6:A21)</x:f>
        <x:v>16</x:v>
      </x:c>
      <x:c r="C7" s="12" t="n">
        <x:f>COUNTIF('B验收'!N6:N21,"通过")</x:f>
        <x:v>0</x:v>
      </x:c>
      <x:c r="D7" s="12" t="n">
        <x:f>COUNTIF('B验收'!N6:N21,"未达标")+COUNTIF('B验收'!N6:N21,"退回")</x:f>
        <x:v>0</x:v>
      </x:c>
      <x:c r="E7" s="12" t="n">
        <x:f>B7-C7-D7</x:f>
        <x:v>16</x:v>
      </x:c>
      <x:c r="F7" s="33" t="n">
        <x:f>IF(B7=0,0,C7/B7)</x:f>
        <x:v>0</x:v>
      </x:c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C</x:v>
      </x:c>
      <x:c r="B8" s="12" t="n">
        <x:f>COUNTA('C验收'!A6:A27)</x:f>
        <x:v>22</x:v>
      </x:c>
      <x:c r="C8" s="12" t="n">
        <x:f>COUNTIF('C验收'!N6:N27,"通过")</x:f>
        <x:v>0</x:v>
      </x:c>
      <x:c r="D8" s="12" t="n">
        <x:f>COUNTIF('C验收'!N6:N27,"未达标")+COUNTIF('C验收'!N6:N27,"退回")</x:f>
        <x:v>0</x:v>
      </x:c>
      <x:c r="E8" s="12" t="n">
        <x:f>B8-C8-D8</x:f>
        <x:v>22</x:v>
      </x:c>
      <x:c r="F8" s="33" t="n">
        <x:f>IF(B8=0,0,C8/B8)</x:f>
        <x:v>0</x:v>
      </x:c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0"/>
      <x:c r="B9" s="10"/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0"/>
      <x:c r="B10" s="10"/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>
      <x:c r="A11" s="9" t="str">
        <x:v>P0验收门</x:v>
      </x:c>
      <x:c r="B11" s="9" t="str">
        <x:v>来源</x:v>
      </x:c>
      <x:c r="C11" s="9" t="str">
        <x:v>当前状态</x:v>
      </x:c>
      <x:c r="D11" s="9" t="str">
        <x:v>说明</x:v>
      </x:c>
      <x:c r="E11" s="10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2" t="str">
        <x:v>100篇状态台账</x:v>
      </x:c>
      <x:c r="B12" s="12" t="str">
        <x:v>A-01/A-02</x:v>
      </x:c>
      <x:c r="C12" s="12" t="str">
        <x:f>IF(AND('A验收'!N6="通过",'A验收'!N7="通过"),"通过","未完成")</x:f>
        <x:v>未完成</x:v>
      </x:c>
      <x:c r="D12" s="12" t="str">
        <x:v>缺失或失败项必须有原因</x:v>
      </x:c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2" t="str">
        <x:v>5篇纵向主链</x:v>
      </x:c>
      <x:c r="B13" s="12" t="str">
        <x:v>C-05</x:v>
      </x:c>
      <x:c r="C13" s="12" t="str">
        <x:f>IF('C验收'!N10="通过","通过","未完成")</x:f>
        <x:v>未完成</x:v>
      </x:c>
      <x:c r="D13" s="12" t="str">
        <x:v>采集到证据详情</x:v>
      </x:c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12" t="str">
        <x:v>20张同样本评测</x:v>
      </x:c>
      <x:c r="B14" s="12" t="str">
        <x:v>B-01/B-10/B-11</x:v>
      </x:c>
      <x:c r="C14" s="12" t="str">
        <x:f>IF(AND('B验收'!N6="通过",'B验收'!N7="通过",'B验收'!N10="通过",'B验收'!N11="通过",'B验收'!N12="通过",'B验收'!N13="通过",'B验收'!N14="通过",'B验收'!N15="通过",'B验收'!N16="通过",'B验收'!N17="通过",'B验收'!N20="通过",'B验收'!N21="通过"),"通过","未完成")</x:f>
        <x:v>未完成</x:v>
      </x:c>
      <x:c r="D14" s="12" t="str">
        <x:v>五字段分别核对，20样本同批且启用结论可追溯</x:v>
      </x:c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>
      <x:c r="A15" s="12" t="str">
        <x:v>查询小于1秒</x:v>
      </x:c>
      <x:c r="B15" s="12" t="str">
        <x:v>C-10/C-11/C-12</x:v>
      </x:c>
      <x:c r="C15" s="12" t="str">
        <x:f>IF(AND('C验收'!N15="通过",'C验收'!N16="通过",'C验收'!N17="通过"),"通过","未完成")</x:f>
        <x:v>未完成</x:v>
      </x:c>
      <x:c r="D15" s="12" t="str">
        <x:v>100行夹具至少30次</x:v>
      </x:c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>
      <x:c r="A16" s="12" t="str">
        <x:v>Scheduler增量同步</x:v>
      </x:c>
      <x:c r="B16" s="12" t="str">
        <x:v>A-12/A-13</x:v>
      </x:c>
      <x:c r="C16" s="12" t="str">
        <x:f>IF(AND('A验收'!N17="通过",'A验收'!N18="通过"),"通过","未完成")</x:f>
        <x:v>未完成</x:v>
      </x:c>
      <x:c r="D16" s="12" t="str">
        <x:v>调度、锁、游标与状态均可复现</x:v>
      </x:c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>
      <x:c r="A17" s="12" t="str">
        <x:v>公共HTTPS与健康检查</x:v>
      </x:c>
      <x:c r="B17" s="12" t="str">
        <x:v>C-17/C-18</x:v>
      </x:c>
      <x:c r="C17" s="12" t="str">
        <x:f>IF(AND('C验收'!N22="通过",'C验收'!N23="通过"),"通过","未完成")</x:f>
        <x:v>未完成</x:v>
      </x:c>
      <x:c r="D17" s="12" t="str">
        <x:v>公网URL和/healthz均需证据</x:v>
      </x:c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>
      <x:c r="A18" s="12" t="str">
        <x:v>三角色权限与Evidence-RAG</x:v>
      </x:c>
      <x:c r="B18" s="12" t="str">
        <x:v>C-19/C-20</x:v>
      </x:c>
      <x:c r="C18" s="12" t="str">
        <x:f>IF(AND('C验收'!N24="通过",'C验收'!N25="通过"),"通过","未完成")</x:f>
        <x:v>未完成</x:v>
      </x:c>
      <x:c r="D18" s="12" t="str">
        <x:v>服务端权限和三条检索路径</x:v>
      </x:c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2" t="str">
        <x:v>移动端与局域网灾备</x:v>
      </x:c>
      <x:c r="B19" s="12" t="str">
        <x:v>C-13/C-21/C-22</x:v>
      </x:c>
      <x:c r="C19" s="12" t="str">
        <x:f>IF(AND('C验收'!N18="通过",'C验收'!N26="通过",'C验收'!N27="通过"),"通过","未完成")</x:f>
        <x:v>未完成</x:v>
      </x:c>
      <x:c r="D19" s="12" t="str">
        <x:v>两种视口及另一设备复测</x:v>
      </x:c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9" t="str">
        <x:v>填写规则</x:v>
      </x:c>
      <x:c r="B22" s="9" t="str">
        <x:v>要求</x:v>
      </x:c>
      <x:c r="C22" s="9" t="str">
        <x:v>负责人</x:v>
      </x:c>
      <x:c r="D22" s="9" t="str">
        <x:v>截止</x:v>
      </x:c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2" t="str">
        <x:v>实际值</x:v>
      </x:c>
      <x:c r="B23" s="12" t="str">
        <x:v>不填计划数，不把历史基线当本周实绩</x:v>
      </x:c>
      <x:c r="C23" s="12" t="str">
        <x:v>角色记录，C回填</x:v>
      </x:c>
      <x:c r="D23" s="12" t="str">
        <x:v>完成测试后立即</x:v>
      </x:c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2" t="str">
        <x:v>证据</x:v>
      </x:c>
      <x:c r="B24" s="12" t="str">
        <x:v>角色文件登记相对路径、PR或链接，C回填</x:v>
      </x:c>
      <x:c r="C24" s="12" t="str">
        <x:v>角色记录，C回填</x:v>
      </x:c>
      <x:c r="D24" s="12" t="str">
        <x:v>与实际值同时</x:v>
      </x:c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2" t="str">
        <x:v>接收确认</x:v>
      </x:c>
      <x:c r="B25" s="12" t="str">
        <x:v>接收方拉取指定commit并复测</x:v>
      </x:c>
      <x:c r="C25" s="12" t="str">
        <x:v>接收人</x:v>
      </x:c>
      <x:c r="D25" s="12" t="str">
        <x:v>交付后4小时内</x:v>
      </x:c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2" t="str">
        <x:v>退回</x:v>
      </x:c>
      <x:c r="B26" s="12" t="str">
        <x:v>写清字段、命令输出和修复要求</x:v>
      </x:c>
      <x:c r="C26" s="12" t="str">
        <x:v>接收人</x:v>
      </x:c>
      <x:c r="D26" s="12" t="str">
        <x:v>发现问题当日</x:v>
      </x:c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F6:F8">
    <x:cfRule type="dataBar" priority="1">
      <x:dataBar>
        <x:cfvo type="min"/>
        <x:cfvo type="max"/>
        <x:color rgb="FF5B9BD5"/>
      </x:dataBar>
    </x:cfRule>
  </x:conditionalFormatting>
  <x:conditionalFormatting sqref="C12:C19">
    <x:cfRule type="containsText" dxfId="14" priority="2" operator="containsText" text="通过"/>
    <x:cfRule type="containsText" dxfId="15" priority="3" operator="containsText" text="未完成"/>
  </x:conditionalFormatting>
  <x:pageMargins left="0.7" right="0.7" top="0.75" bottom="0.75" header="0.3" footer="0.3"/>
</x:worksheet>
</file>